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" sheetId="2" state="visible" r:id="rId4"/>
    <sheet name="Gap_Summary" sheetId="3" state="visible" r:id="rId5"/>
    <sheet name="Best_Models" sheetId="4" state="visible" r:id="rId6"/>
    <sheet name="Models_M1_to_M8" sheetId="5" state="visible" r:id="rId7"/>
    <sheet name="Candidate_Models" sheetId="6" state="visible" r:id="rId8"/>
    <sheet name="Episode_Sensitivity" sheetId="7" state="visible" r:id="rId9"/>
    <sheet name="Chow_Tests" sheetId="8" state="visible" r:id="rId10"/>
    <sheet name="Relative_Importance" sheetId="9" state="visible" r:id="rId11"/>
    <sheet name="Unit_Roots_Cointegration" sheetId="10" state="visible" r:id="rId12"/>
    <sheet name="VAR_Granger" sheetId="11" state="visible" r:id="rId13"/>
    <sheet name="VAR_FEVD" sheetId="12" state="visible" r:id="rId14"/>
    <sheet name="VAR_Data" sheetId="13" state="visible" r:id="rId15"/>
    <sheet name="Rolling_Correlation" sheetId="14" state="visible" r:id="rId16"/>
    <sheet name="Lead_Lag" sheetId="15" state="visible" r:id="rId17"/>
    <sheet name="GDP_Level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<sst xmlns="http://schemas.openxmlformats.org/spreadsheetml/2006/main" count="487" uniqueCount="286">
  <si>
    <t xml:space="preserve">India inflation: CPI, WPI and the GDP deflator. Constructed datasets and model results</t>
  </si>
  <si>
    <t xml:space="preserve">Research question: How closely are CPI and WPI inflation associated with GDP-deflator inflation in India?</t>
  </si>
  <si>
    <t xml:space="preserve">Sheet</t>
  </si>
  <si>
    <t xml:space="preserve">What it contains</t>
  </si>
  <si>
    <t xml:space="preserve">Data</t>
  </si>
  <si>
    <t xml:space="preserve">The 47-quarter dataset: CPI, WPI and deflator YoY inflation, the CPI-deflator gap, lagged WPI and period flags</t>
  </si>
  <si>
    <t xml:space="preserve">Gap_Summary</t>
  </si>
  <si>
    <t xml:space="preserve">Summary statistics of the gap and correlations (live formulas on Data)</t>
  </si>
  <si>
    <t xml:space="preserve">Best_Models</t>
  </si>
  <si>
    <t xml:space="preserve">Selected models M2, M3 and C4 with OLS and HAC standard errors, fit, diagnostics and forecast error</t>
  </si>
  <si>
    <t xml:space="preserve">Models_M1_to_M8</t>
  </si>
  <si>
    <t xml:space="preserve">Original eight models replicated from the repository</t>
  </si>
  <si>
    <t xml:space="preserve">Candidate_Models</t>
  </si>
  <si>
    <t xml:space="preserve">Seven candidate specifications compared on fit and out-of-sample error</t>
  </si>
  <si>
    <t xml:space="preserve">Episode_Sensitivity</t>
  </si>
  <si>
    <t xml:space="preserve">R-squared and WPI slope with and without the 2021-23 shock, and other sample splits</t>
  </si>
  <si>
    <t xml:space="preserve">Chow_Tests</t>
  </si>
  <si>
    <t xml:space="preserve">Structural break tests at 2016-17 Q1 and 2020-21 Q1</t>
  </si>
  <si>
    <t xml:space="preserve">Relative_Importance</t>
  </si>
  <si>
    <t xml:space="preserve">LMG split of explained variance between CPI and WPI, with bootstrap intervals</t>
  </si>
  <si>
    <t xml:space="preserve">Unit_Roots_Cointegration</t>
  </si>
  <si>
    <t xml:space="preserve">ADF, KPSS, Johansen and Engle-Granger results</t>
  </si>
  <si>
    <t xml:space="preserve">VAR_Granger / VAR_FEVD / VAR_Data</t>
  </si>
  <si>
    <t xml:space="preserve">VAR(3) Granger tests by lag length, variance decompositions and the input series</t>
  </si>
  <si>
    <t xml:space="preserve">Rolling_Correlation / Lead_Lag</t>
  </si>
  <si>
    <t xml:space="preserve">Rolling 20-quarter correlations and lead-lag cross-correlations</t>
  </si>
  <si>
    <t xml:space="preserve">GDP_Levels</t>
  </si>
  <si>
    <t xml:space="preserve">Quarterly real and nominal GDP and price indices behind the deflator</t>
  </si>
  <si>
    <t xml:space="preserve">Notes</t>
  </si>
  <si>
    <t xml:space="preserve">Sample: 47 quarters, 2013-14 Q4 to 2025-26 Q2 (fiscal years, April to March). Assumed to be the 2011-12 base national accounts series.</t>
  </si>
  <si>
    <t xml:space="preserve">All inflation rates are year-on-year, in per cent. pp = percentage points. HAC = Newey-West standard errors.</t>
  </si>
  <si>
    <t xml:space="preserve">The results show association, not causation. The deflator is a residual of nominal and real GDP and in the old series used a common WPI-based deflator.</t>
  </si>
  <si>
    <t xml:space="preserve">Caution: the 2018-19 Q4 deflator (about -0.94%) looks implausible and is the most influential observation.</t>
  </si>
  <si>
    <t xml:space="preserve">Quarterly year-on-year inflation, % (47 quarters, 2013-14 Q4 to 2025-26 Q2)</t>
  </si>
  <si>
    <t xml:space="preserve">Blue = input values taken from the 'Regression Data' sheet of CPI_REGRESSON.xlsx (converted from decimals to %). Black = formulas.</t>
  </si>
  <si>
    <t xml:space="preserve">Period</t>
  </si>
  <si>
    <t xml:space="preserve">CPI inflation (% YoY)</t>
  </si>
  <si>
    <t xml:space="preserve">WPI inflation (% YoY)</t>
  </si>
  <si>
    <t xml:space="preserve">Deflator inflation (% YoY)</t>
  </si>
  <si>
    <t xml:space="preserve">Gap: CPI minus deflator (pp)</t>
  </si>
  <si>
    <t xml:space="preserve">WPI inflation, lagged 1 quarter</t>
  </si>
  <si>
    <t xml:space="preserve">2021-23 shock quarter (1/0)</t>
  </si>
  <si>
    <t xml:space="preserve">2020-21 onward (1/0)</t>
  </si>
  <si>
    <t xml:space="preserve">2013-14 Q4</t>
  </si>
  <si>
    <t xml:space="preserve">2014-15 Q1</t>
  </si>
  <si>
    <t xml:space="preserve">2014-15 Q2</t>
  </si>
  <si>
    <t xml:space="preserve">2014-15 Q3</t>
  </si>
  <si>
    <t xml:space="preserve">2014-15 Q4</t>
  </si>
  <si>
    <t xml:space="preserve">2015-16 Q1</t>
  </si>
  <si>
    <t xml:space="preserve">2015-16 Q2</t>
  </si>
  <si>
    <t xml:space="preserve">2015-16 Q3</t>
  </si>
  <si>
    <t xml:space="preserve">2015-16 Q4</t>
  </si>
  <si>
    <t xml:space="preserve">2016-17 Q1</t>
  </si>
  <si>
    <t xml:space="preserve">2016-17 Q2</t>
  </si>
  <si>
    <t xml:space="preserve">2016-17 Q3</t>
  </si>
  <si>
    <t xml:space="preserve">2016-17 Q4</t>
  </si>
  <si>
    <t xml:space="preserve">2017-18 Q1</t>
  </si>
  <si>
    <t xml:space="preserve">2017-18 Q2</t>
  </si>
  <si>
    <t xml:space="preserve">2017-18 Q3</t>
  </si>
  <si>
    <t xml:space="preserve">2017-18 Q4</t>
  </si>
  <si>
    <t xml:space="preserve">2018-19 Q1</t>
  </si>
  <si>
    <t xml:space="preserve">2018-19 Q2</t>
  </si>
  <si>
    <t xml:space="preserve">2018-19 Q3</t>
  </si>
  <si>
    <t xml:space="preserve">2018-19 Q4</t>
  </si>
  <si>
    <t xml:space="preserve">2019-20 Q1</t>
  </si>
  <si>
    <t xml:space="preserve">2019-20 Q2</t>
  </si>
  <si>
    <t xml:space="preserve">2019-20 Q3</t>
  </si>
  <si>
    <t xml:space="preserve">2019-20 Q4</t>
  </si>
  <si>
    <t xml:space="preserve">2020-21 Q1</t>
  </si>
  <si>
    <t xml:space="preserve">2020-21 Q2</t>
  </si>
  <si>
    <t xml:space="preserve">2020-21 Q3</t>
  </si>
  <si>
    <t xml:space="preserve">2020-21 Q4</t>
  </si>
  <si>
    <t xml:space="preserve">2021-22 Q1</t>
  </si>
  <si>
    <t xml:space="preserve">2021-22 Q2</t>
  </si>
  <si>
    <t xml:space="preserve">2021-22 Q3</t>
  </si>
  <si>
    <t xml:space="preserve">2021-22 Q4</t>
  </si>
  <si>
    <t xml:space="preserve">2022-23 Q1</t>
  </si>
  <si>
    <t xml:space="preserve">2022-23 Q2</t>
  </si>
  <si>
    <t xml:space="preserve">2022-23 Q3</t>
  </si>
  <si>
    <t xml:space="preserve">2022-23 Q4</t>
  </si>
  <si>
    <t xml:space="preserve">2023-24 Q1</t>
  </si>
  <si>
    <t xml:space="preserve">2023-24 Q2</t>
  </si>
  <si>
    <t xml:space="preserve">2023-24 Q3</t>
  </si>
  <si>
    <t xml:space="preserve">2023-24 Q4</t>
  </si>
  <si>
    <t xml:space="preserve">2024-25 Q1</t>
  </si>
  <si>
    <t xml:space="preserve">2024-25 Q2</t>
  </si>
  <si>
    <t xml:space="preserve">2024-25 Q3</t>
  </si>
  <si>
    <t xml:space="preserve">2024-25 Q4</t>
  </si>
  <si>
    <t xml:space="preserve">2025-26 Q1</t>
  </si>
  <si>
    <t xml:space="preserve">2025-26 Q2</t>
  </si>
  <si>
    <t xml:space="preserve">How large and how variable is the CPI-deflator gap?</t>
  </si>
  <si>
    <t xml:space="preserve">All cells are formulas on the Data sheet (percentage points unless stated).</t>
  </si>
  <si>
    <t xml:space="preserve">Statistic</t>
  </si>
  <si>
    <t xml:space="preserve">Value</t>
  </si>
  <si>
    <t xml:space="preserve">Mean gap</t>
  </si>
  <si>
    <t xml:space="preserve">Median gap</t>
  </si>
  <si>
    <t xml:space="preserve">Standard deviation</t>
  </si>
  <si>
    <t xml:space="preserve">Minimum</t>
  </si>
  <si>
    <t xml:space="preserve">Maximum</t>
  </si>
  <si>
    <t xml:space="preserve">Share of quarters with CPI above deflator</t>
  </si>
  <si>
    <t xml:space="preserve">Quarters with gap of 2 pp or more</t>
  </si>
  <si>
    <t xml:space="preserve">Mean gap before 2020-21</t>
  </si>
  <si>
    <t xml:space="preserve">Mean gap 2020-21 onward</t>
  </si>
  <si>
    <t xml:space="preserve">Mean gap in the 2021-23 shock quarters</t>
  </si>
  <si>
    <t xml:space="preserve">Mean gap, last four quarters</t>
  </si>
  <si>
    <t xml:space="preserve">Correlation of gap with WPI inflation</t>
  </si>
  <si>
    <t xml:space="preserve">Correlation of CPI with WPI inflation</t>
  </si>
  <si>
    <t xml:space="preserve">Correlation of deflator with WPI inflation</t>
  </si>
  <si>
    <t xml:space="preserve">Correlation of deflator with CPI inflation</t>
  </si>
  <si>
    <t xml:space="preserve">Selected models: deflator inflation regressed on CPI and WPI inflation</t>
  </si>
  <si>
    <t xml:space="preserve">Dependent variable: GDP-deflator inflation (% YoY). OLS coefficients; HAC = Newey-West standard errors with 4 lags.</t>
  </si>
  <si>
    <t xml:space="preserve">Model</t>
  </si>
  <si>
    <t xml:space="preserve">Variable</t>
  </si>
  <si>
    <t xml:space="preserve">Coefficient</t>
  </si>
  <si>
    <t xml:space="preserve">OLS std. error</t>
  </si>
  <si>
    <t xml:space="preserve">OLS p-value</t>
  </si>
  <si>
    <t xml:space="preserve">HAC std. error</t>
  </si>
  <si>
    <t xml:space="preserve">HAC p-value</t>
  </si>
  <si>
    <t xml:space="preserve">M2  Deflator = a + b*WPI</t>
  </si>
  <si>
    <t xml:space="preserve">Constant</t>
  </si>
  <si>
    <t xml:space="preserve">WPI inflation</t>
  </si>
  <si>
    <t xml:space="preserve">M3  Deflator = a + b*CPI + c*WPI</t>
  </si>
  <si>
    <t xml:space="preserve">CPI inflation</t>
  </si>
  <si>
    <t xml:space="preserve">C4  Deflator = a + b*CPI + c*WPI + d*WPI(-1)  [recommended]</t>
  </si>
  <si>
    <t xml:space="preserve">Fit and residual diagnostics</t>
  </si>
  <si>
    <t xml:space="preserve">n</t>
  </si>
  <si>
    <t xml:space="preserve">R-squared</t>
  </si>
  <si>
    <t xml:space="preserve">Adj. R-squared</t>
  </si>
  <si>
    <t xml:space="preserve">AIC (common n=46)</t>
  </si>
  <si>
    <t xml:space="preserve">BIC (common n=46)</t>
  </si>
  <si>
    <t xml:space="preserve">Durbin-Watson</t>
  </si>
  <si>
    <t xml:space="preserve">Breusch-Godfrey(4) p</t>
  </si>
  <si>
    <t xml:space="preserve">M2</t>
  </si>
  <si>
    <t xml:space="preserve">M3</t>
  </si>
  <si>
    <t xml:space="preserve">C4</t>
  </si>
  <si>
    <t xml:space="preserve">Out-of-sample forecast error (expanding window, one step ahead from 2018-19 Q1, 46 quarters, pp RMSE)</t>
  </si>
  <si>
    <t xml:space="preserve">OOS RMSE (pp)</t>
  </si>
  <si>
    <t xml:space="preserve">M2 (= C2)</t>
  </si>
  <si>
    <t xml:space="preserve">M3 (= C3)</t>
  </si>
  <si>
    <t xml:space="preserve">Reading guide:</t>
  </si>
  <si>
    <t xml:space="preserve">M2 is the simplest summary: one point of WPI inflation goes with about 0.44 points of deflator inflation (R-squared 0.70).</t>
  </si>
  <si>
    <t xml:space="preserve">M3 is the original two-variable model. CPI adds about 3.6 points of R-squared once WPI is included.</t>
  </si>
  <si>
    <t xml:space="preserve">C4 is the recommended specification: best BIC among the candidates without a dummy, clean residuals, and the lowest forecast error (shared with the C6 AR(1) variant).</t>
  </si>
  <si>
    <t xml:space="preserve">The forecast gain from C4 over M3 is about 4% (1.58 to 1.51 pp) and was not tested for significance.</t>
  </si>
  <si>
    <t xml:space="preserve">The long-run WPI effect in C4 is 0.577 - 0.183 = 0.394, close to M2's 0.44.</t>
  </si>
  <si>
    <t xml:space="preserve">Original model set replicated from the repository</t>
  </si>
  <si>
    <t xml:space="preserve">R-squared reproduces the README values: 0.156, 0.703, 0.740, 0.715.</t>
  </si>
  <si>
    <t xml:space="preserve">R2</t>
  </si>
  <si>
    <t xml:space="preserve">adj_R2</t>
  </si>
  <si>
    <t xml:space="preserve">DW</t>
  </si>
  <si>
    <t xml:space="preserve">BG4_p</t>
  </si>
  <si>
    <t xml:space="preserve">BP_p</t>
  </si>
  <si>
    <t xml:space="preserve">RESET_p</t>
  </si>
  <si>
    <t xml:space="preserve">JB_p</t>
  </si>
  <si>
    <t xml:space="preserve">M1 CPI only</t>
  </si>
  <si>
    <t xml:space="preserve">M2 WPI only</t>
  </si>
  <si>
    <t xml:space="preserve">M3 CPI + WPI</t>
  </si>
  <si>
    <t xml:space="preserve">M4 CPI + CPI(-1)</t>
  </si>
  <si>
    <t xml:space="preserve">M5 CPI lags 0-2</t>
  </si>
  <si>
    <t xml:space="preserve">M6 WPI + WPI(-1)</t>
  </si>
  <si>
    <t xml:space="preserve">M7 WPI lags 0-2</t>
  </si>
  <si>
    <t xml:space="preserve">M8 WPI + WPI^2</t>
  </si>
  <si>
    <t xml:space="preserve">Coefficients</t>
  </si>
  <si>
    <t xml:space="preserve">Std. error</t>
  </si>
  <si>
    <t xml:space="preserve">p-value</t>
  </si>
  <si>
    <t xml:space="preserve">const</t>
  </si>
  <si>
    <t xml:space="preserve">cpi</t>
  </si>
  <si>
    <t xml:space="preserve">wpi</t>
  </si>
  <si>
    <t xml:space="preserve">cpi_l1</t>
  </si>
  <si>
    <t xml:space="preserve">cpi_l2</t>
  </si>
  <si>
    <t xml:space="preserve">wpi_l1</t>
  </si>
  <si>
    <t xml:space="preserve">wpi_l2</t>
  </si>
  <si>
    <t xml:space="preserve">wpi2</t>
  </si>
  <si>
    <t xml:space="preserve">Candidate specifications compared on a common sample (n = 46)</t>
  </si>
  <si>
    <t xml:space="preserve">OOS = expanding-window one-step-ahead forecast error from 2018-19 Q1, percentage points.</t>
  </si>
  <si>
    <t xml:space="preserve">model</t>
  </si>
  <si>
    <t xml:space="preserve">AIC</t>
  </si>
  <si>
    <t xml:space="preserve">BIC</t>
  </si>
  <si>
    <t xml:space="preserve">BG(4) p</t>
  </si>
  <si>
    <t xml:space="preserve">OOS RMSE</t>
  </si>
  <si>
    <t xml:space="preserve">OOS RMSE excl. 2018-19 Q4</t>
  </si>
  <si>
    <t xml:space="preserve">C1 CPI only (original M1)</t>
  </si>
  <si>
    <t xml:space="preserve">C2 WPI only (original M2)</t>
  </si>
  <si>
    <t xml:space="preserve">C3 CPI + WPI (original M3)</t>
  </si>
  <si>
    <t xml:space="preserve">C4 CPI + WPI + WPI(-1)</t>
  </si>
  <si>
    <t xml:space="preserve">C5 ADL: defl(-1) + CPI + WPI</t>
  </si>
  <si>
    <t xml:space="preserve">C6 ADL: defl(-1) + CPI, WPI + lags</t>
  </si>
  <si>
    <t xml:space="preserve">C7 original M3 + dummy 2018-19 Q4</t>
  </si>
  <si>
    <t xml:space="preserve">How much of the fit depends on which quarters are included?</t>
  </si>
  <si>
    <t xml:space="preserve">The WPI slope is stable (0.37 to 0.47); R-squared is not.</t>
  </si>
  <si>
    <t xml:space="preserve">sample</t>
  </si>
  <si>
    <t xml:space="preserve">R2_CPI</t>
  </si>
  <si>
    <t xml:space="preserve">R2_WPI</t>
  </si>
  <si>
    <t xml:space="preserve">R2_both</t>
  </si>
  <si>
    <t xml:space="preserve">WPI_slope</t>
  </si>
  <si>
    <t xml:space="preserve">corr_WPI</t>
  </si>
  <si>
    <t xml:space="preserve">corr_CPI</t>
  </si>
  <si>
    <t xml:space="preserve">Full sample</t>
  </si>
  <si>
    <t xml:space="preserve">Excluding 2021-22 Q1 to 2022-23 Q3</t>
  </si>
  <si>
    <t xml:space="preserve">Pre-2020-21</t>
  </si>
  <si>
    <t xml:space="preserve">2020-21 onward</t>
  </si>
  <si>
    <t xml:space="preserve">Excluding 2018-19 Q4</t>
  </si>
  <si>
    <t xml:space="preserve">Chow tests for a structural break in the WPI-deflator relationship</t>
  </si>
  <si>
    <t xml:space="preserve">WPI-only model, built from residual sums of squares as in the original script.</t>
  </si>
  <si>
    <t xml:space="preserve">Break date</t>
  </si>
  <si>
    <t xml:space="preserve">F</t>
  </si>
  <si>
    <t xml:space="preserve">WPI slope before (s.e.)</t>
  </si>
  <si>
    <t xml:space="preserve">WPI slope after (s.e.)</t>
  </si>
  <si>
    <t xml:space="preserve">2016-17 Q1 (n1=9)</t>
  </si>
  <si>
    <t xml:space="preserve">0.41 (0.07)</t>
  </si>
  <si>
    <t xml:space="preserve">0.49 (0.05)</t>
  </si>
  <si>
    <t xml:space="preserve">2020-21 Q1 (n1=25)</t>
  </si>
  <si>
    <t xml:space="preserve">0.37 (0.10)</t>
  </si>
  <si>
    <t xml:space="preserve">0.47 (0.05)</t>
  </si>
  <si>
    <t xml:space="preserve">Which regressor explains more? LMG split of R-squared and bootstrap intervals</t>
  </si>
  <si>
    <t xml:space="preserve">Regressor</t>
  </si>
  <si>
    <t xml:space="preserve">R2_alone</t>
  </si>
  <si>
    <t xml:space="preserve">LMG_share_of_R2</t>
  </si>
  <si>
    <t xml:space="preserve">standardised_beta</t>
  </si>
  <si>
    <t xml:space="preserve">R2_alone_boot_lo95</t>
  </si>
  <si>
    <t xml:space="preserve">R2_alone_boot_hi95</t>
  </si>
  <si>
    <t xml:space="preserve">CPI</t>
  </si>
  <si>
    <t xml:space="preserve">WPI</t>
  </si>
  <si>
    <t xml:space="preserve">Unit-root and cointegration tests (exploratory, 47 observations)</t>
  </si>
  <si>
    <t xml:space="preserve">ADF null: unit root. KPSS null: stationarity (p-values truncated at 0.10).</t>
  </si>
  <si>
    <t xml:space="preserve">series</t>
  </si>
  <si>
    <t xml:space="preserve">ADF_p_level</t>
  </si>
  <si>
    <t xml:space="preserve">KPSS_p_level</t>
  </si>
  <si>
    <t xml:space="preserve">ADF_p_first_diff</t>
  </si>
  <si>
    <t xml:space="preserve">defl</t>
  </si>
  <si>
    <t xml:space="preserve">Johansen trace and max-eigenvalue tests by lag length (k_ar_diff)</t>
  </si>
  <si>
    <t xml:space="preserve">k_ar_diff</t>
  </si>
  <si>
    <t xml:space="preserve">trace_r0</t>
  </si>
  <si>
    <t xml:space="preserve">crit95_r0</t>
  </si>
  <si>
    <t xml:space="preserve">trace_r1</t>
  </si>
  <si>
    <t xml:space="preserve">crit95_r1</t>
  </si>
  <si>
    <t xml:space="preserve">maxeig_r0</t>
  </si>
  <si>
    <t xml:space="preserve">maxeig_crit95_r0</t>
  </si>
  <si>
    <t xml:space="preserve">Engle-Granger p-values: deflator on WPI = 0.0001; deflator on CPI = 0.349; deflator on CPI and WPI = 0.00008</t>
  </si>
  <si>
    <t xml:space="preserve">Granger-causality tests in the deflator equation, by VAR lag length (p-values)</t>
  </si>
  <si>
    <t xml:space="preserve">VAR on annualised quarter-on-quarter seasonally adjusted rates with a COVID dummy (2020-21 Q1 and Q2). Only 3 lags give white residuals.</t>
  </si>
  <si>
    <t xml:space="preserve">lags</t>
  </si>
  <si>
    <t xml:space="preserve">nobs</t>
  </si>
  <si>
    <t xml:space="preserve">whiteness8_p</t>
  </si>
  <si>
    <t xml:space="preserve">stable</t>
  </si>
  <si>
    <t xml:space="preserve">WPI_to_defl_p</t>
  </si>
  <si>
    <t xml:space="preserve">CPI_to_defl_p</t>
  </si>
  <si>
    <t xml:space="preserve">defl_to_WPI_p</t>
  </si>
  <si>
    <t xml:space="preserve">defl_to_CPI_p</t>
  </si>
  <si>
    <t xml:space="preserve">Share of deflator forecast-error variance by shock, under four variable orderings</t>
  </si>
  <si>
    <t xml:space="preserve">h4 and h12 = 4 and 12 quarters ahead.</t>
  </si>
  <si>
    <t xml:space="preserve">ordering</t>
  </si>
  <si>
    <t xml:space="preserve">WPI_share_h4</t>
  </si>
  <si>
    <t xml:space="preserve">CPI_share_h4</t>
  </si>
  <si>
    <t xml:space="preserve">own_share_h4</t>
  </si>
  <si>
    <t xml:space="preserve">WPI_share_h12</t>
  </si>
  <si>
    <t xml:space="preserve">CPI_share_h12</t>
  </si>
  <si>
    <t xml:space="preserve">wpi &gt; cpi &gt; defl</t>
  </si>
  <si>
    <t xml:space="preserve">defl &gt; wpi &gt; cpi</t>
  </si>
  <si>
    <t xml:space="preserve">cpi &gt; wpi &gt; defl</t>
  </si>
  <si>
    <t xml:space="preserve">defl &gt; cpi &gt; wpi</t>
  </si>
  <si>
    <t xml:space="preserve">VAR input series: annualised q/q seasonally adjusted rates (%)</t>
  </si>
  <si>
    <t xml:space="preserve">Constructed from the monthly CPI/WPI indices and quarterly GDP in the source workbook.</t>
  </si>
  <si>
    <t xml:space="preserve">fiscal_quarter</t>
  </si>
  <si>
    <t xml:space="preserve">covid</t>
  </si>
  <si>
    <t xml:space="preserve">2013-14 Q1</t>
  </si>
  <si>
    <t xml:space="preserve">2013-14 Q2</t>
  </si>
  <si>
    <t xml:space="preserve">2013-14 Q3</t>
  </si>
  <si>
    <t xml:space="preserve">Rolling 20-quarter correlation with deflator inflation</t>
  </si>
  <si>
    <t xml:space="preserve">Cross-correlation of deflator inflation with WPI and CPI at different leads and lags</t>
  </si>
  <si>
    <t xml:space="preserve">k &gt; 0: deflator at t against the indicator at t-k.</t>
  </si>
  <si>
    <t xml:space="preserve">k</t>
  </si>
  <si>
    <t xml:space="preserve">corr(defl_t, wpi_{t-k})</t>
  </si>
  <si>
    <t xml:space="preserve">corr(defl_t, cpi_{t-k})</t>
  </si>
  <si>
    <t xml:space="preserve">Quarterly GDP levels and price indices used to construct the deflator</t>
  </si>
  <si>
    <t xml:space="preserve">Deflator = nominal GDP / real GDP x 100. Units as in the source workbook.</t>
  </si>
  <si>
    <t xml:space="preserve">Real GDP</t>
  </si>
  <si>
    <t xml:space="preserve">Nominal GDP</t>
  </si>
  <si>
    <t xml:space="preserve">2011-12 Q1</t>
  </si>
  <si>
    <t xml:space="preserve">2011-12 Q2</t>
  </si>
  <si>
    <t xml:space="preserve">2011-12 Q3</t>
  </si>
  <si>
    <t xml:space="preserve">2011-12 Q4</t>
  </si>
  <si>
    <t xml:space="preserve">2012-13 Q1</t>
  </si>
  <si>
    <t xml:space="preserve">2012-13 Q2</t>
  </si>
  <si>
    <t xml:space="preserve">2012-13 Q3</t>
  </si>
  <si>
    <t xml:space="preserve">2012-13 Q4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</si>
</sst>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%"/>
    <numFmt numFmtId="167" formatCode="0"/>
    <numFmt numFmtId="168" formatCode="0.000"/>
    <numFmt numFmtId="169" formatCode="0.0000"/>
    <numFmt numFmtId="170" formatCode="0.0"/>
    <numFmt numFmtId="171" formatCode="General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5" t="s">
        <v>22</v>
      </c>
      <c r="B14" s="5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5" t="s">
        <v>27</v>
      </c>
    </row>
    <row r="18" customFormat="false" ht="15" hidden="false" customHeight="false" outlineLevel="0" collapsed="false">
      <c r="A18" s="6" t="s">
        <v>28</v>
      </c>
    </row>
    <row r="19" customFormat="false" ht="15" hidden="false" customHeight="false" outlineLevel="0" collapsed="false">
      <c r="A19" s="7" t="s">
        <v>29</v>
      </c>
    </row>
    <row r="20" customFormat="false" ht="15" hidden="false" customHeight="false" outlineLevel="0" collapsed="false">
      <c r="A20" s="7" t="s">
        <v>30</v>
      </c>
    </row>
    <row r="21" customFormat="false" ht="15" hidden="false" customHeight="false" outlineLevel="0" collapsed="false">
      <c r="A21" s="7" t="s">
        <v>31</v>
      </c>
    </row>
    <row r="22" customFormat="false" ht="15" hidden="false" customHeight="false" outlineLevel="0" collapsed="false">
      <c r="A22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43.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</row>
    <row r="5" customFormat="false" ht="15" hidden="false" customHeight="false" outlineLevel="0" collapsed="false">
      <c r="A5" s="8" t="s">
        <v>43</v>
      </c>
      <c r="B5" s="9" t="n">
        <v>8.2435</v>
      </c>
      <c r="C5" s="9" t="n">
        <v>5.076923</v>
      </c>
      <c r="D5" s="9" t="n">
        <v>6.60978</v>
      </c>
      <c r="E5" s="10" t="n">
        <f aca="false">B5-D5</f>
        <v>1.63372</v>
      </c>
      <c r="F5" s="10"/>
      <c r="G5" s="8" t="n">
        <v>0</v>
      </c>
      <c r="H5" s="8" t="n">
        <v>0</v>
      </c>
    </row>
    <row r="6" customFormat="false" ht="15" hidden="false" customHeight="false" outlineLevel="0" collapsed="false">
      <c r="A6" s="11" t="s">
        <v>44</v>
      </c>
      <c r="B6" s="12" t="n">
        <v>7.849829</v>
      </c>
      <c r="C6" s="12" t="n">
        <v>5.132906</v>
      </c>
      <c r="D6" s="12" t="n">
        <v>5.166466</v>
      </c>
      <c r="E6" s="13" t="n">
        <f aca="false">B6-D6</f>
        <v>2.683363</v>
      </c>
      <c r="F6" s="13" t="n">
        <f aca="false">C5</f>
        <v>5.076923</v>
      </c>
      <c r="G6" s="11" t="n">
        <v>0</v>
      </c>
      <c r="H6" s="11" t="n">
        <v>0</v>
      </c>
    </row>
    <row r="7" customFormat="false" ht="15" hidden="false" customHeight="false" outlineLevel="0" collapsed="false">
      <c r="A7" s="8" t="s">
        <v>45</v>
      </c>
      <c r="B7" s="9" t="n">
        <v>6.674577</v>
      </c>
      <c r="C7" s="9" t="n">
        <v>3.516548</v>
      </c>
      <c r="D7" s="9" t="n">
        <v>4.58795</v>
      </c>
      <c r="E7" s="10" t="n">
        <f aca="false">B7-D7</f>
        <v>2.086627</v>
      </c>
      <c r="F7" s="10" t="n">
        <f aca="false">C6</f>
        <v>5.132906</v>
      </c>
      <c r="G7" s="8" t="n">
        <v>0</v>
      </c>
      <c r="H7" s="8" t="n">
        <v>0</v>
      </c>
    </row>
    <row r="8" customFormat="false" ht="15" hidden="false" customHeight="false" outlineLevel="0" collapsed="false">
      <c r="A8" s="11" t="s">
        <v>46</v>
      </c>
      <c r="B8" s="12" t="n">
        <v>4.050926</v>
      </c>
      <c r="C8" s="12" t="n">
        <v>-0.146071</v>
      </c>
      <c r="D8" s="12" t="n">
        <v>2.935924</v>
      </c>
      <c r="E8" s="13" t="n">
        <f aca="false">B8-D8</f>
        <v>1.115002</v>
      </c>
      <c r="F8" s="13" t="n">
        <f aca="false">C7</f>
        <v>3.516548</v>
      </c>
      <c r="G8" s="11" t="n">
        <v>0</v>
      </c>
      <c r="H8" s="11" t="n">
        <v>0</v>
      </c>
    </row>
    <row r="9" customFormat="false" ht="15" hidden="false" customHeight="false" outlineLevel="0" collapsed="false">
      <c r="A9" s="8" t="s">
        <v>47</v>
      </c>
      <c r="B9" s="9" t="n">
        <v>5.272408</v>
      </c>
      <c r="C9" s="9" t="n">
        <v>-3.279649</v>
      </c>
      <c r="D9" s="9" t="n">
        <v>1.101117</v>
      </c>
      <c r="E9" s="10" t="n">
        <f aca="false">B9-D9</f>
        <v>4.171291</v>
      </c>
      <c r="F9" s="10" t="n">
        <f aca="false">C8</f>
        <v>-0.146071</v>
      </c>
      <c r="G9" s="8" t="n">
        <v>0</v>
      </c>
      <c r="H9" s="8" t="n">
        <v>0</v>
      </c>
    </row>
    <row r="10" customFormat="false" ht="15" hidden="false" customHeight="false" outlineLevel="0" collapsed="false">
      <c r="A10" s="11" t="s">
        <v>48</v>
      </c>
      <c r="B10" s="12" t="n">
        <v>5.09206</v>
      </c>
      <c r="C10" s="12" t="n">
        <v>-3.109561</v>
      </c>
      <c r="D10" s="12" t="n">
        <v>3.440207</v>
      </c>
      <c r="E10" s="13" t="n">
        <f aca="false">B10-D10</f>
        <v>1.651853</v>
      </c>
      <c r="F10" s="13" t="n">
        <f aca="false">C9</f>
        <v>-3.279649</v>
      </c>
      <c r="G10" s="11" t="n">
        <v>0</v>
      </c>
      <c r="H10" s="11" t="n">
        <v>0</v>
      </c>
    </row>
    <row r="11" customFormat="false" ht="15" hidden="false" customHeight="false" outlineLevel="0" collapsed="false">
      <c r="A11" s="8" t="s">
        <v>49</v>
      </c>
      <c r="B11" s="9" t="n">
        <v>3.948832</v>
      </c>
      <c r="C11" s="9" t="n">
        <v>-5.509563</v>
      </c>
      <c r="D11" s="9" t="n">
        <v>1.714025</v>
      </c>
      <c r="E11" s="10" t="n">
        <f aca="false">B11-D11</f>
        <v>2.234807</v>
      </c>
      <c r="F11" s="10" t="n">
        <f aca="false">C10</f>
        <v>-3.109561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11" t="s">
        <v>50</v>
      </c>
      <c r="B12" s="12" t="n">
        <v>5.339266</v>
      </c>
      <c r="C12" s="12" t="n">
        <v>-3.627853</v>
      </c>
      <c r="D12" s="12" t="n">
        <v>1.830124</v>
      </c>
      <c r="E12" s="13" t="n">
        <f aca="false">B12-D12</f>
        <v>3.509142</v>
      </c>
      <c r="F12" s="13" t="n">
        <f aca="false">C11</f>
        <v>-5.509563</v>
      </c>
      <c r="G12" s="11" t="n">
        <v>0</v>
      </c>
      <c r="H12" s="11" t="n">
        <v>0</v>
      </c>
    </row>
    <row r="13" customFormat="false" ht="15" hidden="false" customHeight="false" outlineLevel="0" collapsed="false">
      <c r="A13" s="8" t="s">
        <v>51</v>
      </c>
      <c r="B13" s="9" t="n">
        <v>5.258765</v>
      </c>
      <c r="C13" s="9" t="n">
        <v>-2.270663</v>
      </c>
      <c r="D13" s="9" t="n">
        <v>2.209317</v>
      </c>
      <c r="E13" s="10" t="n">
        <f aca="false">B13-D13</f>
        <v>3.049448</v>
      </c>
      <c r="F13" s="10" t="n">
        <f aca="false">C12</f>
        <v>-3.627853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11" t="s">
        <v>52</v>
      </c>
      <c r="B14" s="12" t="n">
        <v>5.666575</v>
      </c>
      <c r="C14" s="12" t="n">
        <v>-0.689862</v>
      </c>
      <c r="D14" s="12" t="n">
        <v>3.253776</v>
      </c>
      <c r="E14" s="13" t="n">
        <f aca="false">B14-D14</f>
        <v>2.412799</v>
      </c>
      <c r="F14" s="13" t="n">
        <f aca="false">C13</f>
        <v>-2.270663</v>
      </c>
      <c r="G14" s="11" t="n">
        <v>0</v>
      </c>
      <c r="H14" s="11" t="n">
        <v>0</v>
      </c>
    </row>
    <row r="15" customFormat="false" ht="15" hidden="false" customHeight="false" outlineLevel="0" collapsed="false">
      <c r="A15" s="8" t="s">
        <v>53</v>
      </c>
      <c r="B15" s="9" t="n">
        <v>5.163189</v>
      </c>
      <c r="C15" s="9" t="n">
        <v>1.02719</v>
      </c>
      <c r="D15" s="9" t="n">
        <v>2.003183</v>
      </c>
      <c r="E15" s="10" t="n">
        <f aca="false">B15-D15</f>
        <v>3.160006</v>
      </c>
      <c r="F15" s="10" t="n">
        <f aca="false">C14</f>
        <v>-0.689862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11" t="s">
        <v>54</v>
      </c>
      <c r="B16" s="12" t="n">
        <v>3.74868</v>
      </c>
      <c r="C16" s="12" t="n">
        <v>1.730419</v>
      </c>
      <c r="D16" s="12" t="n">
        <v>2.655415</v>
      </c>
      <c r="E16" s="13" t="n">
        <f aca="false">B16-D16</f>
        <v>1.093265</v>
      </c>
      <c r="F16" s="13" t="n">
        <f aca="false">C15</f>
        <v>1.02719</v>
      </c>
      <c r="G16" s="11" t="n">
        <v>0</v>
      </c>
      <c r="H16" s="11" t="n">
        <v>0</v>
      </c>
    </row>
    <row r="17" customFormat="false" ht="15" hidden="false" customHeight="false" outlineLevel="0" collapsed="false">
      <c r="A17" s="8" t="s">
        <v>55</v>
      </c>
      <c r="B17" s="9" t="n">
        <v>3.568596</v>
      </c>
      <c r="C17" s="9" t="n">
        <v>4.956629</v>
      </c>
      <c r="D17" s="9" t="n">
        <v>4.951695</v>
      </c>
      <c r="E17" s="10" t="n">
        <f aca="false">B17-D17</f>
        <v>-1.383099</v>
      </c>
      <c r="F17" s="10" t="n">
        <f aca="false">C16</f>
        <v>1.730419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11" t="s">
        <v>56</v>
      </c>
      <c r="B18" s="12" t="n">
        <v>2.202073</v>
      </c>
      <c r="C18" s="12" t="n">
        <v>2.325581</v>
      </c>
      <c r="D18" s="12" t="n">
        <v>3.797018</v>
      </c>
      <c r="E18" s="13" t="n">
        <f aca="false">B18-D18</f>
        <v>-1.594945</v>
      </c>
      <c r="F18" s="13" t="n">
        <f aca="false">C17</f>
        <v>4.956629</v>
      </c>
      <c r="G18" s="11" t="n">
        <v>0</v>
      </c>
      <c r="H18" s="11" t="n">
        <v>0</v>
      </c>
    </row>
    <row r="19" customFormat="false" ht="15" hidden="false" customHeight="false" outlineLevel="0" collapsed="false">
      <c r="A19" s="8" t="s">
        <v>57</v>
      </c>
      <c r="B19" s="9" t="n">
        <v>2.976342</v>
      </c>
      <c r="C19" s="9" t="n">
        <v>2.751196</v>
      </c>
      <c r="D19" s="9" t="n">
        <v>5.146689</v>
      </c>
      <c r="E19" s="10" t="n">
        <f aca="false">B19-D19</f>
        <v>-2.170347</v>
      </c>
      <c r="F19" s="10" t="n">
        <f aca="false">C18</f>
        <v>2.325581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11" t="s">
        <v>58</v>
      </c>
      <c r="B20" s="12" t="n">
        <v>4.554707</v>
      </c>
      <c r="C20" s="12" t="n">
        <v>3.760072</v>
      </c>
      <c r="D20" s="12" t="n">
        <v>4.978328</v>
      </c>
      <c r="E20" s="13" t="n">
        <f aca="false">B20-D20</f>
        <v>-0.423621000000001</v>
      </c>
      <c r="F20" s="13" t="n">
        <f aca="false">C19</f>
        <v>2.751196</v>
      </c>
      <c r="G20" s="11" t="n">
        <v>0</v>
      </c>
      <c r="H20" s="11" t="n">
        <v>0</v>
      </c>
    </row>
    <row r="21" customFormat="false" ht="15" hidden="false" customHeight="false" outlineLevel="0" collapsed="false">
      <c r="A21" s="8" t="s">
        <v>59</v>
      </c>
      <c r="B21" s="9" t="n">
        <v>4.594181</v>
      </c>
      <c r="C21" s="9" t="n">
        <v>2.83353</v>
      </c>
      <c r="D21" s="9" t="n">
        <v>2.084855</v>
      </c>
      <c r="E21" s="10" t="n">
        <f aca="false">B21-D21</f>
        <v>2.509326</v>
      </c>
      <c r="F21" s="10" t="n">
        <f aca="false">C20</f>
        <v>3.760072</v>
      </c>
      <c r="G21" s="8" t="n">
        <v>0</v>
      </c>
      <c r="H21" s="8" t="n">
        <v>0</v>
      </c>
    </row>
    <row r="22" customFormat="false" ht="15" hidden="false" customHeight="false" outlineLevel="0" collapsed="false">
      <c r="A22" s="11" t="s">
        <v>60</v>
      </c>
      <c r="B22" s="12" t="n">
        <v>4.790875</v>
      </c>
      <c r="C22" s="12" t="n">
        <v>4.693034</v>
      </c>
      <c r="D22" s="12" t="n">
        <v>6.028397</v>
      </c>
      <c r="E22" s="13" t="n">
        <f aca="false">B22-D22</f>
        <v>-1.237522</v>
      </c>
      <c r="F22" s="13" t="n">
        <f aca="false">C21</f>
        <v>2.83353</v>
      </c>
      <c r="G22" s="11" t="n">
        <v>0</v>
      </c>
      <c r="H22" s="11" t="n">
        <v>0</v>
      </c>
    </row>
    <row r="23" customFormat="false" ht="15" hidden="false" customHeight="false" outlineLevel="0" collapsed="false">
      <c r="A23" s="8" t="s">
        <v>61</v>
      </c>
      <c r="B23" s="9" t="n">
        <v>3.853755</v>
      </c>
      <c r="C23" s="9" t="n">
        <v>5.034924</v>
      </c>
      <c r="D23" s="9" t="n">
        <v>5.204383</v>
      </c>
      <c r="E23" s="10" t="n">
        <f aca="false">B23-D23</f>
        <v>-1.350628</v>
      </c>
      <c r="F23" s="10" t="n">
        <f aca="false">C22</f>
        <v>4.693034</v>
      </c>
      <c r="G23" s="8" t="n">
        <v>0</v>
      </c>
      <c r="H23" s="8" t="n">
        <v>0</v>
      </c>
    </row>
    <row r="24" customFormat="false" ht="15" hidden="false" customHeight="false" outlineLevel="0" collapsed="false">
      <c r="A24" s="11" t="s">
        <v>62</v>
      </c>
      <c r="B24" s="12" t="n">
        <v>2.60404</v>
      </c>
      <c r="C24" s="12" t="n">
        <v>4.486626</v>
      </c>
      <c r="D24" s="12" t="n">
        <v>5.712378</v>
      </c>
      <c r="E24" s="13" t="n">
        <f aca="false">B24-D24</f>
        <v>-3.108338</v>
      </c>
      <c r="F24" s="13" t="n">
        <f aca="false">C23</f>
        <v>5.034924</v>
      </c>
      <c r="G24" s="11" t="n">
        <v>0</v>
      </c>
      <c r="H24" s="11" t="n">
        <v>0</v>
      </c>
    </row>
    <row r="25" customFormat="false" ht="15" hidden="false" customHeight="false" outlineLevel="0" collapsed="false">
      <c r="A25" s="8" t="s">
        <v>63</v>
      </c>
      <c r="B25" s="9" t="n">
        <v>2.464617</v>
      </c>
      <c r="C25" s="9" t="n">
        <v>2.927669</v>
      </c>
      <c r="D25" s="9" t="n">
        <v>-0.942635</v>
      </c>
      <c r="E25" s="10" t="n">
        <f aca="false">B25-D25</f>
        <v>3.407252</v>
      </c>
      <c r="F25" s="10" t="n">
        <f aca="false">C24</f>
        <v>4.486626</v>
      </c>
      <c r="G25" s="8" t="n">
        <v>0</v>
      </c>
      <c r="H25" s="8" t="n">
        <v>0</v>
      </c>
    </row>
    <row r="26" customFormat="false" ht="15" hidden="false" customHeight="false" outlineLevel="0" collapsed="false">
      <c r="A26" s="11" t="s">
        <v>64</v>
      </c>
      <c r="B26" s="12" t="n">
        <v>3.072085</v>
      </c>
      <c r="C26" s="12" t="n">
        <v>2.67832</v>
      </c>
      <c r="D26" s="12" t="n">
        <v>3.10656</v>
      </c>
      <c r="E26" s="13" t="n">
        <f aca="false">B26-D26</f>
        <v>-0.034475</v>
      </c>
      <c r="F26" s="13" t="n">
        <f aca="false">C25</f>
        <v>2.927669</v>
      </c>
      <c r="G26" s="11" t="n">
        <v>0</v>
      </c>
      <c r="H26" s="11" t="n">
        <v>0</v>
      </c>
    </row>
    <row r="27" customFormat="false" ht="15" hidden="false" customHeight="false" outlineLevel="0" collapsed="false">
      <c r="A27" s="8" t="s">
        <v>65</v>
      </c>
      <c r="B27" s="9" t="n">
        <v>3.472883</v>
      </c>
      <c r="C27" s="9" t="n">
        <v>0.886672</v>
      </c>
      <c r="D27" s="9" t="n">
        <v>0.246844</v>
      </c>
      <c r="E27" s="10" t="n">
        <f aca="false">B27-D27</f>
        <v>3.226039</v>
      </c>
      <c r="F27" s="10" t="n">
        <f aca="false">C26</f>
        <v>2.67832</v>
      </c>
      <c r="G27" s="8" t="n">
        <v>0</v>
      </c>
      <c r="H27" s="8" t="n">
        <v>0</v>
      </c>
    </row>
    <row r="28" customFormat="false" ht="15" hidden="false" customHeight="false" outlineLevel="0" collapsed="false">
      <c r="A28" s="11" t="s">
        <v>66</v>
      </c>
      <c r="B28" s="12" t="n">
        <v>5.834915</v>
      </c>
      <c r="C28" s="12" t="n">
        <v>1.101018</v>
      </c>
      <c r="D28" s="12" t="n">
        <v>2.060934</v>
      </c>
      <c r="E28" s="13" t="n">
        <f aca="false">B28-D28</f>
        <v>3.773981</v>
      </c>
      <c r="F28" s="13" t="n">
        <f aca="false">C27</f>
        <v>0.886672</v>
      </c>
      <c r="G28" s="11" t="n">
        <v>0</v>
      </c>
      <c r="H28" s="11" t="n">
        <v>0</v>
      </c>
    </row>
    <row r="29" customFormat="false" ht="15" hidden="false" customHeight="false" outlineLevel="0" collapsed="false">
      <c r="A29" s="8" t="s">
        <v>67</v>
      </c>
      <c r="B29" s="9" t="n">
        <v>6.668254</v>
      </c>
      <c r="C29" s="9" t="n">
        <v>2.063581</v>
      </c>
      <c r="D29" s="9" t="n">
        <v>4.168898</v>
      </c>
      <c r="E29" s="10" t="n">
        <f aca="false">B29-D29</f>
        <v>2.499356</v>
      </c>
      <c r="F29" s="10" t="n">
        <f aca="false">C28</f>
        <v>1.101018</v>
      </c>
      <c r="G29" s="8" t="n">
        <v>0</v>
      </c>
      <c r="H29" s="8" t="n">
        <v>0</v>
      </c>
    </row>
    <row r="30" customFormat="false" ht="15" hidden="false" customHeight="false" outlineLevel="0" collapsed="false">
      <c r="A30" s="11" t="s">
        <v>68</v>
      </c>
      <c r="B30" s="12" t="n">
        <v>6.571227</v>
      </c>
      <c r="C30" s="12" t="n">
        <v>-2.25151</v>
      </c>
      <c r="D30" s="12" t="n">
        <v>2.312778</v>
      </c>
      <c r="E30" s="13" t="n">
        <f aca="false">B30-D30</f>
        <v>4.258449</v>
      </c>
      <c r="F30" s="13" t="n">
        <f aca="false">C29</f>
        <v>2.063581</v>
      </c>
      <c r="G30" s="11" t="n">
        <v>0</v>
      </c>
      <c r="H30" s="11" t="n">
        <v>1</v>
      </c>
    </row>
    <row r="31" customFormat="false" ht="15" hidden="false" customHeight="false" outlineLevel="0" collapsed="false">
      <c r="A31" s="8" t="s">
        <v>69</v>
      </c>
      <c r="B31" s="9" t="n">
        <v>6.896552</v>
      </c>
      <c r="C31" s="9" t="n">
        <v>0.49437</v>
      </c>
      <c r="D31" s="9" t="n">
        <v>3.150289</v>
      </c>
      <c r="E31" s="10" t="n">
        <f aca="false">B31-D31</f>
        <v>3.746263</v>
      </c>
      <c r="F31" s="10" t="n">
        <f aca="false">C30</f>
        <v>-2.25151</v>
      </c>
      <c r="G31" s="8" t="n">
        <v>0</v>
      </c>
      <c r="H31" s="8" t="n">
        <v>1</v>
      </c>
    </row>
    <row r="32" customFormat="false" ht="15" hidden="false" customHeight="false" outlineLevel="0" collapsed="false">
      <c r="A32" s="11" t="s">
        <v>70</v>
      </c>
      <c r="B32" s="12" t="n">
        <v>6.364859</v>
      </c>
      <c r="C32" s="12" t="n">
        <v>1.851348</v>
      </c>
      <c r="D32" s="12" t="n">
        <v>4.738737</v>
      </c>
      <c r="E32" s="13" t="n">
        <f aca="false">B32-D32</f>
        <v>1.626122</v>
      </c>
      <c r="F32" s="13" t="n">
        <f aca="false">C31</f>
        <v>0.49437</v>
      </c>
      <c r="G32" s="11" t="n">
        <v>0</v>
      </c>
      <c r="H32" s="11" t="n">
        <v>1</v>
      </c>
    </row>
    <row r="33" customFormat="false" ht="15" hidden="false" customHeight="false" outlineLevel="0" collapsed="false">
      <c r="A33" s="8" t="s">
        <v>71</v>
      </c>
      <c r="B33" s="9" t="n">
        <v>4.867158</v>
      </c>
      <c r="C33" s="9" t="n">
        <v>5.054645</v>
      </c>
      <c r="D33" s="9" t="n">
        <v>8.26581</v>
      </c>
      <c r="E33" s="10" t="n">
        <f aca="false">B33-D33</f>
        <v>-3.398652</v>
      </c>
      <c r="F33" s="10" t="n">
        <f aca="false">C32</f>
        <v>1.851348</v>
      </c>
      <c r="G33" s="8" t="n">
        <v>0</v>
      </c>
      <c r="H33" s="8" t="n">
        <v>1</v>
      </c>
    </row>
    <row r="34" customFormat="false" ht="15" hidden="false" customHeight="false" outlineLevel="0" collapsed="false">
      <c r="A34" s="11" t="s">
        <v>72</v>
      </c>
      <c r="B34" s="12" t="n">
        <v>5.593482</v>
      </c>
      <c r="C34" s="12" t="n">
        <v>11.966292</v>
      </c>
      <c r="D34" s="12" t="n">
        <v>8.436796</v>
      </c>
      <c r="E34" s="13" t="n">
        <f aca="false">B34-D34</f>
        <v>-2.843314</v>
      </c>
      <c r="F34" s="13" t="n">
        <f aca="false">C33</f>
        <v>5.054645</v>
      </c>
      <c r="G34" s="11" t="n">
        <v>1</v>
      </c>
      <c r="H34" s="11" t="n">
        <v>1</v>
      </c>
    </row>
    <row r="35" customFormat="false" ht="15" hidden="false" customHeight="false" outlineLevel="0" collapsed="false">
      <c r="A35" s="8" t="s">
        <v>73</v>
      </c>
      <c r="B35" s="9" t="n">
        <v>5.075269</v>
      </c>
      <c r="C35" s="9" t="n">
        <v>11.669855</v>
      </c>
      <c r="D35" s="9" t="n">
        <v>8.326606</v>
      </c>
      <c r="E35" s="10" t="n">
        <f aca="false">B35-D35</f>
        <v>-3.251337</v>
      </c>
      <c r="F35" s="10" t="n">
        <f aca="false">C34</f>
        <v>11.966292</v>
      </c>
      <c r="G35" s="8" t="n">
        <v>1</v>
      </c>
      <c r="H35" s="8" t="n">
        <v>1</v>
      </c>
    </row>
    <row r="36" customFormat="false" ht="15" hidden="false" customHeight="false" outlineLevel="0" collapsed="false">
      <c r="A36" s="11" t="s">
        <v>74</v>
      </c>
      <c r="B36" s="12" t="n">
        <v>5.014749</v>
      </c>
      <c r="C36" s="12" t="n">
        <v>14.32772</v>
      </c>
      <c r="D36" s="12" t="n">
        <v>8.507775</v>
      </c>
      <c r="E36" s="13" t="n">
        <f aca="false">B36-D36</f>
        <v>-3.493026</v>
      </c>
      <c r="F36" s="13" t="n">
        <f aca="false">C35</f>
        <v>11.669855</v>
      </c>
      <c r="G36" s="11" t="n">
        <v>1</v>
      </c>
      <c r="H36" s="11" t="n">
        <v>1</v>
      </c>
    </row>
    <row r="37" customFormat="false" ht="15" hidden="false" customHeight="false" outlineLevel="0" collapsed="false">
      <c r="A37" s="8" t="s">
        <v>75</v>
      </c>
      <c r="B37" s="9" t="n">
        <v>6.344475</v>
      </c>
      <c r="C37" s="9" t="n">
        <v>13.914174</v>
      </c>
      <c r="D37" s="9" t="n">
        <v>8.471924</v>
      </c>
      <c r="E37" s="10" t="n">
        <f aca="false">B37-D37</f>
        <v>-2.127449</v>
      </c>
      <c r="F37" s="10" t="n">
        <f aca="false">C36</f>
        <v>14.32772</v>
      </c>
      <c r="G37" s="8" t="n">
        <v>1</v>
      </c>
      <c r="H37" s="8" t="n">
        <v>1</v>
      </c>
    </row>
    <row r="38" customFormat="false" ht="15" hidden="false" customHeight="false" outlineLevel="0" collapsed="false">
      <c r="A38" s="11" t="s">
        <v>76</v>
      </c>
      <c r="B38" s="12" t="n">
        <v>7.278415</v>
      </c>
      <c r="C38" s="12" t="n">
        <v>16.081284</v>
      </c>
      <c r="D38" s="12" t="n">
        <v>10.603116</v>
      </c>
      <c r="E38" s="13" t="n">
        <f aca="false">B38-D38</f>
        <v>-3.324701</v>
      </c>
      <c r="F38" s="13" t="n">
        <f aca="false">C37</f>
        <v>13.914174</v>
      </c>
      <c r="G38" s="11" t="n">
        <v>1</v>
      </c>
      <c r="H38" s="11" t="n">
        <v>1</v>
      </c>
    </row>
    <row r="39" customFormat="false" ht="15" hidden="false" customHeight="false" outlineLevel="0" collapsed="false">
      <c r="A39" s="8" t="s">
        <v>77</v>
      </c>
      <c r="B39" s="9" t="n">
        <v>7.040524</v>
      </c>
      <c r="C39" s="9" t="n">
        <v>12.359276</v>
      </c>
      <c r="D39" s="9" t="n">
        <v>8.30881</v>
      </c>
      <c r="E39" s="10" t="n">
        <f aca="false">B39-D39</f>
        <v>-1.268286</v>
      </c>
      <c r="F39" s="10" t="n">
        <f aca="false">C38</f>
        <v>16.081284</v>
      </c>
      <c r="G39" s="8" t="n">
        <v>1</v>
      </c>
      <c r="H39" s="8" t="n">
        <v>1</v>
      </c>
    </row>
    <row r="40" customFormat="false" ht="15" hidden="false" customHeight="false" outlineLevel="0" collapsed="false">
      <c r="A40" s="11" t="s">
        <v>78</v>
      </c>
      <c r="B40" s="12" t="n">
        <v>6.119583</v>
      </c>
      <c r="C40" s="12" t="n">
        <v>6.593407</v>
      </c>
      <c r="D40" s="12" t="n">
        <v>3.888358</v>
      </c>
      <c r="E40" s="13" t="n">
        <f aca="false">B40-D40</f>
        <v>2.231225</v>
      </c>
      <c r="F40" s="13" t="n">
        <f aca="false">C39</f>
        <v>12.359276</v>
      </c>
      <c r="G40" s="11" t="n">
        <v>1</v>
      </c>
      <c r="H40" s="11" t="n">
        <v>1</v>
      </c>
    </row>
    <row r="41" customFormat="false" ht="15" hidden="false" customHeight="false" outlineLevel="0" collapsed="false">
      <c r="A41" s="8" t="s">
        <v>79</v>
      </c>
      <c r="B41" s="9" t="n">
        <v>6.206206</v>
      </c>
      <c r="C41" s="9" t="n">
        <v>3.333333</v>
      </c>
      <c r="D41" s="9" t="n">
        <v>1.886566</v>
      </c>
      <c r="E41" s="10" t="n">
        <f aca="false">B41-D41</f>
        <v>4.31964</v>
      </c>
      <c r="F41" s="10" t="n">
        <f aca="false">C40</f>
        <v>6.593407</v>
      </c>
      <c r="G41" s="8" t="n">
        <v>0</v>
      </c>
      <c r="H41" s="8" t="n">
        <v>1</v>
      </c>
    </row>
    <row r="42" customFormat="false" ht="15" hidden="false" customHeight="false" outlineLevel="0" collapsed="false">
      <c r="A42" s="11" t="s">
        <v>80</v>
      </c>
      <c r="B42" s="12" t="n">
        <v>4.62675</v>
      </c>
      <c r="C42" s="12" t="n">
        <v>-2.874433</v>
      </c>
      <c r="D42" s="12" t="n">
        <v>1.176838</v>
      </c>
      <c r="E42" s="13" t="n">
        <f aca="false">B42-D42</f>
        <v>3.449912</v>
      </c>
      <c r="F42" s="13" t="n">
        <f aca="false">C41</f>
        <v>3.333333</v>
      </c>
      <c r="G42" s="11" t="n">
        <v>0</v>
      </c>
      <c r="H42" s="11" t="n">
        <v>1</v>
      </c>
    </row>
    <row r="43" customFormat="false" ht="15" hidden="false" customHeight="false" outlineLevel="0" collapsed="false">
      <c r="A43" s="8" t="s">
        <v>81</v>
      </c>
      <c r="B43" s="9" t="n">
        <v>6.424474</v>
      </c>
      <c r="C43" s="9" t="n">
        <v>-0.588107</v>
      </c>
      <c r="D43" s="9" t="n">
        <v>2.539254</v>
      </c>
      <c r="E43" s="10" t="n">
        <f aca="false">B43-D43</f>
        <v>3.88522</v>
      </c>
      <c r="F43" s="10" t="n">
        <f aca="false">C42</f>
        <v>-2.874433</v>
      </c>
      <c r="G43" s="8" t="n">
        <v>0</v>
      </c>
      <c r="H43" s="8" t="n">
        <v>1</v>
      </c>
    </row>
    <row r="44" customFormat="false" ht="15" hidden="false" customHeight="false" outlineLevel="0" collapsed="false">
      <c r="A44" s="11" t="s">
        <v>82</v>
      </c>
      <c r="B44" s="12" t="n">
        <v>5.369635</v>
      </c>
      <c r="C44" s="12" t="n">
        <v>0.32902</v>
      </c>
      <c r="D44" s="12" t="n">
        <v>3.110201</v>
      </c>
      <c r="E44" s="13" t="n">
        <f aca="false">B44-D44</f>
        <v>2.259434</v>
      </c>
      <c r="F44" s="13" t="n">
        <f aca="false">C43</f>
        <v>-0.588107</v>
      </c>
      <c r="G44" s="11" t="n">
        <v>0</v>
      </c>
      <c r="H44" s="11" t="n">
        <v>1</v>
      </c>
    </row>
    <row r="45" customFormat="false" ht="15" hidden="false" customHeight="false" outlineLevel="0" collapsed="false">
      <c r="A45" s="8" t="s">
        <v>83</v>
      </c>
      <c r="B45" s="9" t="n">
        <v>5.014138</v>
      </c>
      <c r="C45" s="9" t="n">
        <v>0.265135</v>
      </c>
      <c r="D45" s="9" t="n">
        <v>3.406841</v>
      </c>
      <c r="E45" s="10" t="n">
        <f aca="false">B45-D45</f>
        <v>1.607297</v>
      </c>
      <c r="F45" s="10" t="n">
        <f aca="false">C44</f>
        <v>0.32902</v>
      </c>
      <c r="G45" s="8" t="n">
        <v>0</v>
      </c>
      <c r="H45" s="8" t="n">
        <v>1</v>
      </c>
    </row>
    <row r="46" customFormat="false" ht="15" hidden="false" customHeight="false" outlineLevel="0" collapsed="false">
      <c r="A46" s="11" t="s">
        <v>84</v>
      </c>
      <c r="B46" s="12" t="n">
        <v>4.90524</v>
      </c>
      <c r="C46" s="12" t="n">
        <v>2.447708</v>
      </c>
      <c r="D46" s="12" t="n">
        <v>2.950824</v>
      </c>
      <c r="E46" s="13" t="n">
        <f aca="false">B46-D46</f>
        <v>1.954416</v>
      </c>
      <c r="F46" s="13" t="n">
        <f aca="false">C45</f>
        <v>0.265135</v>
      </c>
      <c r="G46" s="11" t="n">
        <v>0</v>
      </c>
      <c r="H46" s="11" t="n">
        <v>1</v>
      </c>
    </row>
    <row r="47" customFormat="false" ht="15" hidden="false" customHeight="false" outlineLevel="0" collapsed="false">
      <c r="A47" s="8" t="s">
        <v>85</v>
      </c>
      <c r="B47" s="9" t="n">
        <v>4.240029</v>
      </c>
      <c r="C47" s="9" t="n">
        <v>1.752848</v>
      </c>
      <c r="D47" s="9" t="n">
        <v>2.52775</v>
      </c>
      <c r="E47" s="10" t="n">
        <f aca="false">B47-D47</f>
        <v>1.712279</v>
      </c>
      <c r="F47" s="10" t="n">
        <f aca="false">C46</f>
        <v>2.447708</v>
      </c>
      <c r="G47" s="8" t="n">
        <v>0</v>
      </c>
      <c r="H47" s="8" t="n">
        <v>1</v>
      </c>
    </row>
    <row r="48" customFormat="false" ht="15" hidden="false" customHeight="false" outlineLevel="0" collapsed="false">
      <c r="A48" s="11" t="s">
        <v>86</v>
      </c>
      <c r="B48" s="12" t="n">
        <v>5.634308</v>
      </c>
      <c r="C48" s="12" t="n">
        <v>2.492348</v>
      </c>
      <c r="D48" s="12" t="n">
        <v>3.681139</v>
      </c>
      <c r="E48" s="13" t="n">
        <f aca="false">B48-D48</f>
        <v>1.953169</v>
      </c>
      <c r="F48" s="13" t="n">
        <f aca="false">C47</f>
        <v>1.752848</v>
      </c>
      <c r="G48" s="11" t="n">
        <v>0</v>
      </c>
      <c r="H48" s="11" t="n">
        <v>1</v>
      </c>
    </row>
    <row r="49" customFormat="false" ht="15" hidden="false" customHeight="false" outlineLevel="0" collapsed="false">
      <c r="A49" s="8" t="s">
        <v>87</v>
      </c>
      <c r="B49" s="9" t="n">
        <v>3.733621</v>
      </c>
      <c r="C49" s="9" t="n">
        <v>2.401939</v>
      </c>
      <c r="D49" s="9" t="n">
        <v>3.14298</v>
      </c>
      <c r="E49" s="10" t="n">
        <f aca="false">B49-D49</f>
        <v>0.590641</v>
      </c>
      <c r="F49" s="10" t="n">
        <f aca="false">C48</f>
        <v>2.492348</v>
      </c>
      <c r="G49" s="8" t="n">
        <v>0</v>
      </c>
      <c r="H49" s="8" t="n">
        <v>1</v>
      </c>
    </row>
    <row r="50" customFormat="false" ht="15" hidden="false" customHeight="false" outlineLevel="0" collapsed="false">
      <c r="A50" s="11" t="s">
        <v>88</v>
      </c>
      <c r="B50" s="12" t="n">
        <v>2.692171</v>
      </c>
      <c r="C50" s="12" t="n">
        <v>0.260643</v>
      </c>
      <c r="D50" s="12" t="n">
        <v>0.935384</v>
      </c>
      <c r="E50" s="13" t="n">
        <f aca="false">B50-D50</f>
        <v>1.756787</v>
      </c>
      <c r="F50" s="13" t="n">
        <f aca="false">C49</f>
        <v>2.401939</v>
      </c>
      <c r="G50" s="11" t="n">
        <v>0</v>
      </c>
      <c r="H50" s="11" t="n">
        <v>1</v>
      </c>
    </row>
    <row r="51" customFormat="false" ht="15" hidden="false" customHeight="false" outlineLevel="0" collapsed="false">
      <c r="A51" s="8" t="s">
        <v>89</v>
      </c>
      <c r="B51" s="9" t="n">
        <v>1.706308</v>
      </c>
      <c r="C51" s="9" t="n">
        <v>0.043066</v>
      </c>
      <c r="D51" s="9" t="n">
        <v>0.466487</v>
      </c>
      <c r="E51" s="10" t="n">
        <f aca="false">B51-D51</f>
        <v>1.239821</v>
      </c>
      <c r="F51" s="10" t="n">
        <f aca="false">C50</f>
        <v>0.260643</v>
      </c>
      <c r="G51" s="8" t="n">
        <v>0</v>
      </c>
      <c r="H51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14" t="s">
        <v>92</v>
      </c>
      <c r="B4" s="14" t="s">
        <v>93</v>
      </c>
    </row>
    <row r="5" customFormat="false" ht="15" hidden="false" customHeight="false" outlineLevel="0" collapsed="false">
      <c r="A5" s="4" t="s">
        <v>94</v>
      </c>
      <c r="B5" s="10" t="n">
        <f aca="false">AVERAGE(Data!$E$5:$E$51)</f>
        <v>1.05953642553191</v>
      </c>
    </row>
    <row r="6" customFormat="false" ht="15" hidden="false" customHeight="false" outlineLevel="0" collapsed="false">
      <c r="A6" s="4" t="s">
        <v>95</v>
      </c>
      <c r="B6" s="10" t="n">
        <f aca="false">MEDIAN(Data!$E$5:$E$51)</f>
        <v>1.712279</v>
      </c>
    </row>
    <row r="7" customFormat="false" ht="15" hidden="false" customHeight="false" outlineLevel="0" collapsed="false">
      <c r="A7" s="4" t="s">
        <v>96</v>
      </c>
      <c r="B7" s="10" t="n">
        <f aca="false">STDEV(Data!$E$5:$E$51)</f>
        <v>2.40416870588812</v>
      </c>
    </row>
    <row r="8" customFormat="false" ht="15" hidden="false" customHeight="false" outlineLevel="0" collapsed="false">
      <c r="A8" s="4" t="s">
        <v>97</v>
      </c>
      <c r="B8" s="10" t="n">
        <f aca="false">MIN(Data!$E$5:$E$51)</f>
        <v>-3.493026</v>
      </c>
    </row>
    <row r="9" customFormat="false" ht="15" hidden="false" customHeight="false" outlineLevel="0" collapsed="false">
      <c r="A9" s="4" t="s">
        <v>98</v>
      </c>
      <c r="B9" s="10" t="n">
        <f aca="false">MAX(Data!$E$5:$E$51)</f>
        <v>4.31964</v>
      </c>
    </row>
    <row r="10" customFormat="false" ht="15" hidden="false" customHeight="false" outlineLevel="0" collapsed="false">
      <c r="A10" s="4" t="s">
        <v>99</v>
      </c>
      <c r="B10" s="15" t="n">
        <f aca="false">COUNTIF(Data!$E$5:$E$51,"&gt;0")/COUNT(Data!$E$5:$E$51)</f>
        <v>0.680851063829787</v>
      </c>
    </row>
    <row r="11" customFormat="false" ht="15" hidden="false" customHeight="false" outlineLevel="0" collapsed="false">
      <c r="A11" s="4" t="s">
        <v>100</v>
      </c>
      <c r="B11" s="16" t="n">
        <f aca="false">COUNTIF(Data!$E$5:$E$51,"&gt;=2")</f>
        <v>20</v>
      </c>
    </row>
    <row r="12" customFormat="false" ht="15" hidden="false" customHeight="false" outlineLevel="0" collapsed="false">
      <c r="A12" s="4" t="s">
        <v>101</v>
      </c>
      <c r="B12" s="10" t="n">
        <f aca="false">AVERAGEIFS(Data!$E$5:$E$51,Data!$H$5:$H$51,0)</f>
        <v>1.31657208</v>
      </c>
    </row>
    <row r="13" customFormat="false" ht="15" hidden="false" customHeight="false" outlineLevel="0" collapsed="false">
      <c r="A13" s="4" t="s">
        <v>102</v>
      </c>
      <c r="B13" s="10" t="n">
        <f aca="false">AVERAGEIFS(Data!$E$5:$E$51,Data!$H$5:$H$51,1)</f>
        <v>0.767450454545455</v>
      </c>
    </row>
    <row r="14" customFormat="false" ht="15" hidden="false" customHeight="false" outlineLevel="0" collapsed="false">
      <c r="A14" s="4" t="s">
        <v>103</v>
      </c>
      <c r="B14" s="10" t="n">
        <f aca="false">AVERAGEIFS(Data!$E$5:$E$51,Data!$G$5:$G$51,1)</f>
        <v>-2.010984</v>
      </c>
    </row>
    <row r="15" customFormat="false" ht="15" hidden="false" customHeight="false" outlineLevel="0" collapsed="false">
      <c r="A15" s="4" t="s">
        <v>104</v>
      </c>
      <c r="B15" s="10" t="n">
        <f aca="false">AVERAGE(Data!$E$48:$E$51)</f>
        <v>1.3851045</v>
      </c>
    </row>
    <row r="16" customFormat="false" ht="15" hidden="false" customHeight="false" outlineLevel="0" collapsed="false">
      <c r="A16" s="4" t="s">
        <v>105</v>
      </c>
      <c r="B16" s="10" t="n">
        <f aca="false">CORREL(Data!$E$5:$E$51,Data!$C$5:$C$51)</f>
        <v>-0.732902734861195</v>
      </c>
    </row>
    <row r="17" customFormat="false" ht="15" hidden="false" customHeight="false" outlineLevel="0" collapsed="false">
      <c r="A17" s="4" t="s">
        <v>106</v>
      </c>
      <c r="B17" s="10" t="n">
        <f aca="false">CORREL(Data!$B$5:$B$51,Data!$C$5:$C$51)</f>
        <v>0.252076745992133</v>
      </c>
    </row>
    <row r="18" customFormat="false" ht="15" hidden="false" customHeight="false" outlineLevel="0" collapsed="false">
      <c r="A18" s="4" t="s">
        <v>107</v>
      </c>
      <c r="B18" s="10" t="n">
        <f aca="false">CORREL(Data!$D$5:$D$51,Data!$C$5:$C$51)</f>
        <v>0.83861771521502</v>
      </c>
    </row>
    <row r="19" customFormat="false" ht="15" hidden="false" customHeight="false" outlineLevel="0" collapsed="false">
      <c r="A19" s="4" t="s">
        <v>108</v>
      </c>
      <c r="B19" s="10" t="n">
        <f aca="false">CORREL(Data!$D$5:$D$51,Data!$B$5:$B$51)</f>
        <v>0.39548974216858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7" min="3" style="0" width="20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31.5" hidden="false" customHeight="true" outlineLevel="0" collapsed="false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117</v>
      </c>
    </row>
    <row r="5" customFormat="false" ht="15" hidden="false" customHeight="false" outlineLevel="0" collapsed="false">
      <c r="A5" s="4" t="s">
        <v>118</v>
      </c>
      <c r="B5" s="4" t="s">
        <v>119</v>
      </c>
      <c r="C5" s="17" t="n">
        <v>2.61053567719369</v>
      </c>
      <c r="D5" s="17" t="n">
        <v>0.242180807710128</v>
      </c>
      <c r="E5" s="18" t="n">
        <v>4.70422713712314E-014</v>
      </c>
      <c r="F5" s="17" t="n">
        <v>0.3164472343404</v>
      </c>
      <c r="G5" s="18" t="n">
        <v>1.4980512452011E-010</v>
      </c>
    </row>
    <row r="6" customFormat="false" ht="15" hidden="false" customHeight="false" outlineLevel="0" collapsed="false">
      <c r="A6" s="5" t="s">
        <v>118</v>
      </c>
      <c r="B6" s="5" t="s">
        <v>120</v>
      </c>
      <c r="C6" s="19" t="n">
        <v>0.443358863206064</v>
      </c>
      <c r="D6" s="19" t="n">
        <v>0.0429297900630209</v>
      </c>
      <c r="E6" s="20" t="n">
        <v>1.87652003869133E-013</v>
      </c>
      <c r="F6" s="19" t="n">
        <v>0.0353799037082683</v>
      </c>
      <c r="G6" s="20" t="n">
        <v>2.81961834260463E-016</v>
      </c>
    </row>
    <row r="7" customFormat="false" ht="15" hidden="false" customHeight="false" outlineLevel="0" collapsed="false">
      <c r="A7" s="4" t="s">
        <v>121</v>
      </c>
      <c r="B7" s="4" t="s">
        <v>119</v>
      </c>
      <c r="C7" s="17" t="n">
        <v>1.03749496937717</v>
      </c>
      <c r="D7" s="17" t="n">
        <v>0.676401895476622</v>
      </c>
      <c r="E7" s="18" t="n">
        <v>0.13222781891723</v>
      </c>
      <c r="F7" s="17" t="n">
        <v>0.787369152392193</v>
      </c>
      <c r="G7" s="18" t="n">
        <v>0.194433148553809</v>
      </c>
    </row>
    <row r="8" customFormat="false" ht="15" hidden="false" customHeight="false" outlineLevel="0" collapsed="false">
      <c r="A8" s="5" t="s">
        <v>121</v>
      </c>
      <c r="B8" s="5" t="s">
        <v>122</v>
      </c>
      <c r="C8" s="19" t="n">
        <v>0.330689377765652</v>
      </c>
      <c r="D8" s="19" t="n">
        <v>0.133760523980694</v>
      </c>
      <c r="E8" s="20" t="n">
        <v>0.0173642808233379</v>
      </c>
      <c r="F8" s="19" t="n">
        <v>0.135004654614094</v>
      </c>
      <c r="G8" s="20" t="n">
        <v>0.0183575765867855</v>
      </c>
    </row>
    <row r="9" customFormat="false" ht="15" hidden="false" customHeight="false" outlineLevel="0" collapsed="false">
      <c r="A9" s="4" t="s">
        <v>121</v>
      </c>
      <c r="B9" s="4" t="s">
        <v>120</v>
      </c>
      <c r="C9" s="17" t="n">
        <v>0.417160441588951</v>
      </c>
      <c r="D9" s="17" t="n">
        <v>0.0420387781021312</v>
      </c>
      <c r="E9" s="18" t="n">
        <v>8.46918441212072E-013</v>
      </c>
      <c r="F9" s="17" t="n">
        <v>0.0333825021170688</v>
      </c>
      <c r="G9" s="18" t="n">
        <v>4.51553364875473E-016</v>
      </c>
    </row>
    <row r="10" customFormat="false" ht="15" hidden="false" customHeight="false" outlineLevel="0" collapsed="false">
      <c r="A10" s="5" t="s">
        <v>123</v>
      </c>
      <c r="B10" s="5" t="s">
        <v>119</v>
      </c>
      <c r="C10" s="19" t="n">
        <v>1.30844035987472</v>
      </c>
      <c r="D10" s="19" t="n">
        <v>0.677767980665492</v>
      </c>
      <c r="E10" s="20" t="n">
        <v>0.0603131528709663</v>
      </c>
      <c r="F10" s="19" t="n">
        <v>0.781392327826399</v>
      </c>
      <c r="G10" s="20" t="n">
        <v>0.101464497451877</v>
      </c>
    </row>
    <row r="11" customFormat="false" ht="15" hidden="false" customHeight="false" outlineLevel="0" collapsed="false">
      <c r="A11" s="4" t="s">
        <v>123</v>
      </c>
      <c r="B11" s="4" t="s">
        <v>122</v>
      </c>
      <c r="C11" s="17" t="n">
        <v>0.29020097908102</v>
      </c>
      <c r="D11" s="17" t="n">
        <v>0.13541049037894</v>
      </c>
      <c r="E11" s="18" t="n">
        <v>0.0379418152652549</v>
      </c>
      <c r="F11" s="17" t="n">
        <v>0.134038090596027</v>
      </c>
      <c r="G11" s="18" t="n">
        <v>0.0361128275908122</v>
      </c>
    </row>
    <row r="12" customFormat="false" ht="15" hidden="false" customHeight="false" outlineLevel="0" collapsed="false">
      <c r="A12" s="5" t="s">
        <v>123</v>
      </c>
      <c r="B12" s="5" t="s">
        <v>120</v>
      </c>
      <c r="C12" s="19" t="n">
        <v>0.576762849585677</v>
      </c>
      <c r="D12" s="19" t="n">
        <v>0.0798581841488166</v>
      </c>
      <c r="E12" s="20" t="n">
        <v>7.00150980277894E-009</v>
      </c>
      <c r="F12" s="19" t="n">
        <v>0.0585229663187153</v>
      </c>
      <c r="G12" s="20" t="n">
        <v>1.73045468600894E-012</v>
      </c>
    </row>
    <row r="13" customFormat="false" ht="15" hidden="false" customHeight="false" outlineLevel="0" collapsed="false">
      <c r="A13" s="4" t="s">
        <v>123</v>
      </c>
      <c r="B13" s="4" t="s">
        <v>40</v>
      </c>
      <c r="C13" s="17" t="n">
        <v>-0.182565744605427</v>
      </c>
      <c r="D13" s="17" t="n">
        <v>0.0790193381601425</v>
      </c>
      <c r="E13" s="18" t="n">
        <v>0.0258488896730794</v>
      </c>
      <c r="F13" s="17" t="n">
        <v>0.0485775083162071</v>
      </c>
      <c r="G13" s="18" t="n">
        <v>0.00052204744013886</v>
      </c>
    </row>
    <row r="15" customFormat="false" ht="15" hidden="false" customHeight="false" outlineLevel="0" collapsed="false">
      <c r="A15" s="6" t="s">
        <v>124</v>
      </c>
    </row>
    <row r="16" customFormat="false" ht="31.5" hidden="false" customHeight="true" outlineLevel="0" collapsed="false">
      <c r="A16" s="3" t="s">
        <v>111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</row>
    <row r="17" customFormat="false" ht="15" hidden="false" customHeight="false" outlineLevel="0" collapsed="false">
      <c r="A17" s="4" t="s">
        <v>132</v>
      </c>
      <c r="B17" s="16" t="n">
        <v>47</v>
      </c>
      <c r="C17" s="17" t="n">
        <v>0.703279663609857</v>
      </c>
      <c r="D17" s="17" t="n">
        <v>0.696685878356742</v>
      </c>
      <c r="E17" s="21" t="n">
        <v>163.427022415077</v>
      </c>
      <c r="F17" s="21" t="n">
        <v>167.084305208055</v>
      </c>
      <c r="G17" s="17" t="n">
        <v>1.40183152149745</v>
      </c>
      <c r="H17" s="17" t="n">
        <v>0.315545596118107</v>
      </c>
    </row>
    <row r="18" customFormat="false" ht="15" hidden="false" customHeight="false" outlineLevel="0" collapsed="false">
      <c r="A18" s="5" t="s">
        <v>133</v>
      </c>
      <c r="B18" s="22" t="n">
        <v>47</v>
      </c>
      <c r="C18" s="19" t="n">
        <v>0.739469781248979</v>
      </c>
      <c r="D18" s="19" t="n">
        <v>0.727627498578478</v>
      </c>
      <c r="E18" s="23" t="n">
        <v>160.732520830338</v>
      </c>
      <c r="F18" s="23" t="n">
        <v>166.218445019805</v>
      </c>
      <c r="G18" s="19" t="n">
        <v>1.61506238611896</v>
      </c>
      <c r="H18" s="19" t="n">
        <v>0.643636827471609</v>
      </c>
    </row>
    <row r="19" customFormat="false" ht="15" hidden="false" customHeight="false" outlineLevel="0" collapsed="false">
      <c r="A19" s="4" t="s">
        <v>134</v>
      </c>
      <c r="B19" s="16" t="n">
        <v>46</v>
      </c>
      <c r="C19" s="17" t="n">
        <v>0.764912439349821</v>
      </c>
      <c r="D19" s="17" t="n">
        <v>0.748120470731951</v>
      </c>
      <c r="E19" s="21" t="n">
        <v>157.228989647418</v>
      </c>
      <c r="F19" s="21" t="n">
        <v>164.543555233374</v>
      </c>
      <c r="G19" s="17" t="n">
        <v>1.88641327036839</v>
      </c>
      <c r="H19" s="17" t="n">
        <v>0.981424376281453</v>
      </c>
    </row>
    <row r="21" customFormat="false" ht="15" hidden="false" customHeight="false" outlineLevel="0" collapsed="false">
      <c r="A21" s="6" t="s">
        <v>135</v>
      </c>
    </row>
    <row r="22" customFormat="false" ht="31.5" hidden="false" customHeight="true" outlineLevel="0" collapsed="false">
      <c r="A22" s="3" t="s">
        <v>111</v>
      </c>
      <c r="B22" s="3" t="s">
        <v>136</v>
      </c>
    </row>
    <row r="23" customFormat="false" ht="15" hidden="false" customHeight="false" outlineLevel="0" collapsed="false">
      <c r="A23" s="4" t="s">
        <v>137</v>
      </c>
      <c r="B23" s="17" t="n">
        <v>1.62782</v>
      </c>
    </row>
    <row r="24" customFormat="false" ht="15" hidden="false" customHeight="false" outlineLevel="0" collapsed="false">
      <c r="A24" s="5" t="s">
        <v>138</v>
      </c>
      <c r="B24" s="19" t="n">
        <v>1.57606</v>
      </c>
    </row>
    <row r="25" customFormat="false" ht="15" hidden="false" customHeight="false" outlineLevel="0" collapsed="false">
      <c r="A25" s="4" t="s">
        <v>134</v>
      </c>
      <c r="B25" s="17" t="n">
        <v>1.50672</v>
      </c>
    </row>
    <row r="27" customFormat="false" ht="15" hidden="false" customHeight="false" outlineLevel="0" collapsed="false">
      <c r="A27" s="24" t="s">
        <v>139</v>
      </c>
    </row>
    <row r="28" customFormat="false" ht="15" hidden="false" customHeight="false" outlineLevel="0" collapsed="false">
      <c r="A28" s="7" t="s">
        <v>140</v>
      </c>
    </row>
    <row r="29" customFormat="false" ht="15" hidden="false" customHeight="false" outlineLevel="0" collapsed="false">
      <c r="A29" s="7" t="s">
        <v>141</v>
      </c>
    </row>
    <row r="30" customFormat="false" ht="15" hidden="false" customHeight="false" outlineLevel="0" collapsed="false">
      <c r="A30" s="7" t="s">
        <v>142</v>
      </c>
    </row>
    <row r="31" customFormat="false" ht="15" hidden="false" customHeight="false" outlineLevel="0" collapsed="false">
      <c r="A31" s="7" t="s">
        <v>143</v>
      </c>
    </row>
    <row r="32" customFormat="false" ht="15" hidden="false" customHeight="false" outlineLevel="0" collapsed="false">
      <c r="A32" s="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1.5" hidden="false" customHeight="true" outlineLevel="0" collapsed="false">
      <c r="A4" s="3" t="s">
        <v>111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125</v>
      </c>
    </row>
    <row r="5" customFormat="false" ht="15" hidden="false" customHeight="false" outlineLevel="0" collapsed="false">
      <c r="A5" s="4" t="s">
        <v>154</v>
      </c>
      <c r="B5" s="17" t="n">
        <v>0.156412</v>
      </c>
      <c r="C5" s="17" t="n">
        <v>0.137666</v>
      </c>
      <c r="D5" s="17" t="n">
        <v>0.714224</v>
      </c>
      <c r="E5" s="18" t="n">
        <v>0.000317487</v>
      </c>
      <c r="F5" s="17" t="n">
        <v>0.474569</v>
      </c>
      <c r="G5" s="17" t="n">
        <v>0.726271</v>
      </c>
      <c r="H5" s="17" t="n">
        <v>0.0967177</v>
      </c>
      <c r="I5" s="16" t="n">
        <v>47</v>
      </c>
    </row>
    <row r="6" customFormat="false" ht="15" hidden="false" customHeight="false" outlineLevel="0" collapsed="false">
      <c r="A6" s="5" t="s">
        <v>155</v>
      </c>
      <c r="B6" s="19" t="n">
        <v>0.70328</v>
      </c>
      <c r="C6" s="19" t="n">
        <v>0.696686</v>
      </c>
      <c r="D6" s="19" t="n">
        <v>1.40183</v>
      </c>
      <c r="E6" s="20" t="n">
        <v>0.315546</v>
      </c>
      <c r="F6" s="19" t="n">
        <v>0.706356</v>
      </c>
      <c r="G6" s="19" t="n">
        <v>0.179874</v>
      </c>
      <c r="H6" s="19" t="n">
        <v>0.000615896</v>
      </c>
      <c r="I6" s="22" t="n">
        <v>47</v>
      </c>
    </row>
    <row r="7" customFormat="false" ht="15" hidden="false" customHeight="false" outlineLevel="0" collapsed="false">
      <c r="A7" s="4" t="s">
        <v>156</v>
      </c>
      <c r="B7" s="17" t="n">
        <v>0.73947</v>
      </c>
      <c r="C7" s="17" t="n">
        <v>0.727627</v>
      </c>
      <c r="D7" s="17" t="n">
        <v>1.61506</v>
      </c>
      <c r="E7" s="18" t="n">
        <v>0.643637</v>
      </c>
      <c r="F7" s="17" t="n">
        <v>0.122013</v>
      </c>
      <c r="G7" s="17" t="n">
        <v>0.487347</v>
      </c>
      <c r="H7" s="17" t="n">
        <v>0.0868342</v>
      </c>
      <c r="I7" s="16" t="n">
        <v>47</v>
      </c>
    </row>
    <row r="8" customFormat="false" ht="15" hidden="false" customHeight="false" outlineLevel="0" collapsed="false">
      <c r="A8" s="5" t="s">
        <v>157</v>
      </c>
      <c r="B8" s="19" t="n">
        <v>0.139488</v>
      </c>
      <c r="C8" s="19" t="n">
        <v>0.0994641</v>
      </c>
      <c r="D8" s="19" t="n">
        <v>0.694694</v>
      </c>
      <c r="E8" s="20" t="n">
        <v>0.000284153</v>
      </c>
      <c r="F8" s="19" t="n">
        <v>0.384886</v>
      </c>
      <c r="G8" s="19" t="n">
        <v>0.859298</v>
      </c>
      <c r="H8" s="19" t="n">
        <v>0.0769804</v>
      </c>
      <c r="I8" s="22" t="n">
        <v>46</v>
      </c>
    </row>
    <row r="9" customFormat="false" ht="15" hidden="false" customHeight="false" outlineLevel="0" collapsed="false">
      <c r="A9" s="4" t="s">
        <v>158</v>
      </c>
      <c r="B9" s="17" t="n">
        <v>0.138314</v>
      </c>
      <c r="C9" s="17" t="n">
        <v>0.0752636</v>
      </c>
      <c r="D9" s="17" t="n">
        <v>0.691007</v>
      </c>
      <c r="E9" s="18" t="n">
        <v>0.000276955</v>
      </c>
      <c r="F9" s="17" t="n">
        <v>0.476803</v>
      </c>
      <c r="G9" s="17" t="n">
        <v>0.629253</v>
      </c>
      <c r="H9" s="17" t="n">
        <v>0.0794332</v>
      </c>
      <c r="I9" s="16" t="n">
        <v>45</v>
      </c>
    </row>
    <row r="10" customFormat="false" ht="15" hidden="false" customHeight="false" outlineLevel="0" collapsed="false">
      <c r="A10" s="5" t="s">
        <v>159</v>
      </c>
      <c r="B10" s="19" t="n">
        <v>0.739204</v>
      </c>
      <c r="C10" s="19" t="n">
        <v>0.727074</v>
      </c>
      <c r="D10" s="19" t="n">
        <v>1.62089</v>
      </c>
      <c r="E10" s="20" t="n">
        <v>0.686021</v>
      </c>
      <c r="F10" s="19" t="n">
        <v>0.728235</v>
      </c>
      <c r="G10" s="19" t="n">
        <v>0.112248</v>
      </c>
      <c r="H10" s="19" t="n">
        <v>0.0021573</v>
      </c>
      <c r="I10" s="22" t="n">
        <v>46</v>
      </c>
    </row>
    <row r="11" customFormat="false" ht="15" hidden="false" customHeight="false" outlineLevel="0" collapsed="false">
      <c r="A11" s="4" t="s">
        <v>160</v>
      </c>
      <c r="B11" s="17" t="n">
        <v>0.744537</v>
      </c>
      <c r="C11" s="17" t="n">
        <v>0.725845</v>
      </c>
      <c r="D11" s="17" t="n">
        <v>1.59139</v>
      </c>
      <c r="E11" s="18" t="n">
        <v>0.578254</v>
      </c>
      <c r="F11" s="17" t="n">
        <v>0.924057</v>
      </c>
      <c r="G11" s="17" t="n">
        <v>0.0839372</v>
      </c>
      <c r="H11" s="17" t="n">
        <v>0.00234466</v>
      </c>
      <c r="I11" s="16" t="n">
        <v>45</v>
      </c>
    </row>
    <row r="12" customFormat="false" ht="15" hidden="false" customHeight="false" outlineLevel="0" collapsed="false">
      <c r="A12" s="5" t="s">
        <v>161</v>
      </c>
      <c r="B12" s="19" t="n">
        <v>0.715297</v>
      </c>
      <c r="C12" s="19" t="n">
        <v>0.702356</v>
      </c>
      <c r="D12" s="19" t="n">
        <v>1.48968</v>
      </c>
      <c r="E12" s="20" t="n">
        <v>0.448312</v>
      </c>
      <c r="F12" s="19" t="n">
        <v>0.259853</v>
      </c>
      <c r="G12" s="19" t="n">
        <v>0.131816</v>
      </c>
      <c r="H12" s="19" t="n">
        <v>0.00199397</v>
      </c>
      <c r="I12" s="22" t="n">
        <v>47</v>
      </c>
    </row>
    <row r="14" customFormat="false" ht="15" hidden="false" customHeight="false" outlineLevel="0" collapsed="false">
      <c r="A14" s="6" t="s">
        <v>162</v>
      </c>
    </row>
    <row r="15" customFormat="false" ht="31.5" hidden="false" customHeight="true" outlineLevel="0" collapsed="false">
      <c r="A15" s="3" t="s">
        <v>111</v>
      </c>
      <c r="B15" s="3" t="s">
        <v>112</v>
      </c>
      <c r="C15" s="3" t="s">
        <v>113</v>
      </c>
      <c r="D15" s="3" t="s">
        <v>163</v>
      </c>
      <c r="E15" s="3" t="s">
        <v>164</v>
      </c>
    </row>
    <row r="16" customFormat="false" ht="15" hidden="false" customHeight="false" outlineLevel="0" collapsed="false">
      <c r="A16" s="4" t="s">
        <v>154</v>
      </c>
      <c r="B16" s="4" t="s">
        <v>165</v>
      </c>
      <c r="C16" s="17" t="n">
        <v>0.611821</v>
      </c>
      <c r="D16" s="17" t="n">
        <v>1.20112</v>
      </c>
      <c r="E16" s="18" t="n">
        <v>0.612978</v>
      </c>
    </row>
    <row r="17" customFormat="false" ht="15" hidden="false" customHeight="false" outlineLevel="0" collapsed="false">
      <c r="A17" s="5" t="s">
        <v>154</v>
      </c>
      <c r="B17" s="5" t="s">
        <v>166</v>
      </c>
      <c r="C17" s="19" t="n">
        <v>0.66528</v>
      </c>
      <c r="D17" s="19" t="n">
        <v>0.230318</v>
      </c>
      <c r="E17" s="20" t="n">
        <v>0.00593234</v>
      </c>
    </row>
    <row r="18" customFormat="false" ht="15" hidden="false" customHeight="false" outlineLevel="0" collapsed="false">
      <c r="A18" s="4" t="s">
        <v>155</v>
      </c>
      <c r="B18" s="4" t="s">
        <v>165</v>
      </c>
      <c r="C18" s="17" t="n">
        <v>2.61054</v>
      </c>
      <c r="D18" s="17" t="n">
        <v>0.242181</v>
      </c>
      <c r="E18" s="18" t="n">
        <v>4.70423E-014</v>
      </c>
    </row>
    <row r="19" customFormat="false" ht="15" hidden="false" customHeight="false" outlineLevel="0" collapsed="false">
      <c r="A19" s="5" t="s">
        <v>155</v>
      </c>
      <c r="B19" s="5" t="s">
        <v>167</v>
      </c>
      <c r="C19" s="19" t="n">
        <v>0.443359</v>
      </c>
      <c r="D19" s="19" t="n">
        <v>0.0429298</v>
      </c>
      <c r="E19" s="20" t="n">
        <v>1.87652E-013</v>
      </c>
    </row>
    <row r="20" customFormat="false" ht="15" hidden="false" customHeight="false" outlineLevel="0" collapsed="false">
      <c r="A20" s="4" t="s">
        <v>156</v>
      </c>
      <c r="B20" s="4" t="s">
        <v>165</v>
      </c>
      <c r="C20" s="17" t="n">
        <v>1.03749</v>
      </c>
      <c r="D20" s="17" t="n">
        <v>0.676402</v>
      </c>
      <c r="E20" s="18" t="n">
        <v>0.132228</v>
      </c>
    </row>
    <row r="21" customFormat="false" ht="15" hidden="false" customHeight="false" outlineLevel="0" collapsed="false">
      <c r="A21" s="5" t="s">
        <v>156</v>
      </c>
      <c r="B21" s="5" t="s">
        <v>166</v>
      </c>
      <c r="C21" s="19" t="n">
        <v>0.330689</v>
      </c>
      <c r="D21" s="19" t="n">
        <v>0.133761</v>
      </c>
      <c r="E21" s="20" t="n">
        <v>0.0173643</v>
      </c>
    </row>
    <row r="22" customFormat="false" ht="15" hidden="false" customHeight="false" outlineLevel="0" collapsed="false">
      <c r="A22" s="4" t="s">
        <v>156</v>
      </c>
      <c r="B22" s="4" t="s">
        <v>167</v>
      </c>
      <c r="C22" s="17" t="n">
        <v>0.41716</v>
      </c>
      <c r="D22" s="17" t="n">
        <v>0.0420388</v>
      </c>
      <c r="E22" s="18" t="n">
        <v>8.46918E-013</v>
      </c>
    </row>
    <row r="23" customFormat="false" ht="15" hidden="false" customHeight="false" outlineLevel="0" collapsed="false">
      <c r="A23" s="5" t="s">
        <v>157</v>
      </c>
      <c r="B23" s="5" t="s">
        <v>165</v>
      </c>
      <c r="C23" s="19" t="n">
        <v>0.479664</v>
      </c>
      <c r="D23" s="19" t="n">
        <v>1.37926</v>
      </c>
      <c r="E23" s="20" t="n">
        <v>0.72971</v>
      </c>
    </row>
    <row r="24" customFormat="false" ht="15" hidden="false" customHeight="false" outlineLevel="0" collapsed="false">
      <c r="A24" s="4" t="s">
        <v>157</v>
      </c>
      <c r="B24" s="4" t="s">
        <v>166</v>
      </c>
      <c r="C24" s="17" t="n">
        <v>0.542851</v>
      </c>
      <c r="D24" s="17" t="n">
        <v>0.36448</v>
      </c>
      <c r="E24" s="18" t="n">
        <v>0.143685</v>
      </c>
    </row>
    <row r="25" customFormat="false" ht="15" hidden="false" customHeight="false" outlineLevel="0" collapsed="false">
      <c r="A25" s="5" t="s">
        <v>157</v>
      </c>
      <c r="B25" s="5" t="s">
        <v>168</v>
      </c>
      <c r="C25" s="19" t="n">
        <v>0.142882</v>
      </c>
      <c r="D25" s="19" t="n">
        <v>0.36495</v>
      </c>
      <c r="E25" s="20" t="n">
        <v>0.697352</v>
      </c>
    </row>
    <row r="26" customFormat="false" ht="15" hidden="false" customHeight="false" outlineLevel="0" collapsed="false">
      <c r="A26" s="4" t="s">
        <v>158</v>
      </c>
      <c r="B26" s="4" t="s">
        <v>165</v>
      </c>
      <c r="C26" s="17" t="n">
        <v>0.505256</v>
      </c>
      <c r="D26" s="17" t="n">
        <v>1.5952</v>
      </c>
      <c r="E26" s="18" t="n">
        <v>0.753051</v>
      </c>
    </row>
    <row r="27" customFormat="false" ht="15" hidden="false" customHeight="false" outlineLevel="0" collapsed="false">
      <c r="A27" s="5" t="s">
        <v>158</v>
      </c>
      <c r="B27" s="5" t="s">
        <v>166</v>
      </c>
      <c r="C27" s="19" t="n">
        <v>0.542458</v>
      </c>
      <c r="D27" s="19" t="n">
        <v>0.376703</v>
      </c>
      <c r="E27" s="20" t="n">
        <v>0.157456</v>
      </c>
    </row>
    <row r="28" customFormat="false" ht="15" hidden="false" customHeight="false" outlineLevel="0" collapsed="false">
      <c r="A28" s="4" t="s">
        <v>158</v>
      </c>
      <c r="B28" s="4" t="s">
        <v>168</v>
      </c>
      <c r="C28" s="17" t="n">
        <v>0.247733</v>
      </c>
      <c r="D28" s="17" t="n">
        <v>0.486229</v>
      </c>
      <c r="E28" s="18" t="n">
        <v>0.613134</v>
      </c>
    </row>
    <row r="29" customFormat="false" ht="15" hidden="false" customHeight="false" outlineLevel="0" collapsed="false">
      <c r="A29" s="5" t="s">
        <v>158</v>
      </c>
      <c r="B29" s="5" t="s">
        <v>169</v>
      </c>
      <c r="C29" s="19" t="n">
        <v>-0.103684</v>
      </c>
      <c r="D29" s="19" t="n">
        <v>0.375459</v>
      </c>
      <c r="E29" s="20" t="n">
        <v>0.783817</v>
      </c>
    </row>
    <row r="30" customFormat="false" ht="15" hidden="false" customHeight="false" outlineLevel="0" collapsed="false">
      <c r="A30" s="4" t="s">
        <v>159</v>
      </c>
      <c r="B30" s="4" t="s">
        <v>165</v>
      </c>
      <c r="C30" s="17" t="n">
        <v>2.67871</v>
      </c>
      <c r="D30" s="17" t="n">
        <v>0.234063</v>
      </c>
      <c r="E30" s="18" t="n">
        <v>1.23125E-014</v>
      </c>
    </row>
    <row r="31" customFormat="false" ht="15" hidden="false" customHeight="false" outlineLevel="0" collapsed="false">
      <c r="A31" s="5" t="s">
        <v>159</v>
      </c>
      <c r="B31" s="5" t="s">
        <v>167</v>
      </c>
      <c r="C31" s="19" t="n">
        <v>0.604926</v>
      </c>
      <c r="D31" s="19" t="n">
        <v>0.0819944</v>
      </c>
      <c r="E31" s="20" t="n">
        <v>3.6685E-009</v>
      </c>
    </row>
    <row r="32" customFormat="false" ht="15" hidden="false" customHeight="false" outlineLevel="0" collapsed="false">
      <c r="A32" s="4" t="s">
        <v>159</v>
      </c>
      <c r="B32" s="4" t="s">
        <v>170</v>
      </c>
      <c r="C32" s="17" t="n">
        <v>-0.190599</v>
      </c>
      <c r="D32" s="17" t="n">
        <v>0.0821618</v>
      </c>
      <c r="E32" s="18" t="n">
        <v>0.0251668</v>
      </c>
    </row>
    <row r="33" customFormat="false" ht="15" hidden="false" customHeight="false" outlineLevel="0" collapsed="false">
      <c r="A33" s="5" t="s">
        <v>160</v>
      </c>
      <c r="B33" s="5" t="s">
        <v>165</v>
      </c>
      <c r="C33" s="19" t="n">
        <v>2.72583</v>
      </c>
      <c r="D33" s="19" t="n">
        <v>0.2431</v>
      </c>
      <c r="E33" s="20" t="n">
        <v>4.59112E-014</v>
      </c>
    </row>
    <row r="34" customFormat="false" ht="15" hidden="false" customHeight="false" outlineLevel="0" collapsed="false">
      <c r="A34" s="4" t="s">
        <v>160</v>
      </c>
      <c r="B34" s="4" t="s">
        <v>167</v>
      </c>
      <c r="C34" s="17" t="n">
        <v>0.577895</v>
      </c>
      <c r="D34" s="17" t="n">
        <v>0.0868923</v>
      </c>
      <c r="E34" s="18" t="n">
        <v>5.14198E-008</v>
      </c>
    </row>
    <row r="35" customFormat="false" ht="15" hidden="false" customHeight="false" outlineLevel="0" collapsed="false">
      <c r="A35" s="5" t="s">
        <v>160</v>
      </c>
      <c r="B35" s="5" t="s">
        <v>170</v>
      </c>
      <c r="C35" s="19" t="n">
        <v>-0.0913361</v>
      </c>
      <c r="D35" s="19" t="n">
        <v>0.128407</v>
      </c>
      <c r="E35" s="20" t="n">
        <v>0.480924</v>
      </c>
    </row>
    <row r="36" customFormat="false" ht="15" hidden="false" customHeight="false" outlineLevel="0" collapsed="false">
      <c r="A36" s="4" t="s">
        <v>160</v>
      </c>
      <c r="B36" s="4" t="s">
        <v>171</v>
      </c>
      <c r="C36" s="17" t="n">
        <v>-0.0883799</v>
      </c>
      <c r="D36" s="17" t="n">
        <v>0.0870519</v>
      </c>
      <c r="E36" s="18" t="n">
        <v>0.315938</v>
      </c>
    </row>
    <row r="37" customFormat="false" ht="15" hidden="false" customHeight="false" outlineLevel="0" collapsed="false">
      <c r="A37" s="5" t="s">
        <v>161</v>
      </c>
      <c r="B37" s="5" t="s">
        <v>165</v>
      </c>
      <c r="C37" s="19" t="n">
        <v>2.61403</v>
      </c>
      <c r="D37" s="19" t="n">
        <v>0.23992</v>
      </c>
      <c r="E37" s="20" t="n">
        <v>4.44217E-014</v>
      </c>
    </row>
    <row r="38" customFormat="false" ht="15" hidden="false" customHeight="false" outlineLevel="0" collapsed="false">
      <c r="A38" s="4" t="s">
        <v>161</v>
      </c>
      <c r="B38" s="4" t="s">
        <v>167</v>
      </c>
      <c r="C38" s="17" t="n">
        <v>0.345712</v>
      </c>
      <c r="D38" s="17" t="n">
        <v>0.0833205</v>
      </c>
      <c r="E38" s="18" t="n">
        <v>0.00015019</v>
      </c>
    </row>
    <row r="39" customFormat="false" ht="15" hidden="false" customHeight="false" outlineLevel="0" collapsed="false">
      <c r="A39" s="5" t="s">
        <v>161</v>
      </c>
      <c r="B39" s="5" t="s">
        <v>172</v>
      </c>
      <c r="C39" s="19" t="n">
        <v>0.00904754</v>
      </c>
      <c r="D39" s="19" t="n">
        <v>0.00663884</v>
      </c>
      <c r="E39" s="20" t="n">
        <v>0.179874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27"/>
  </cols>
  <sheetData>
    <row r="1" customFormat="false" ht="16.1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31.5" hidden="false" customHeight="true" outlineLevel="0" collapsed="false">
      <c r="A4" s="3" t="s">
        <v>175</v>
      </c>
      <c r="B4" s="3" t="s">
        <v>127</v>
      </c>
      <c r="C4" s="3" t="s">
        <v>176</v>
      </c>
      <c r="D4" s="3" t="s">
        <v>177</v>
      </c>
      <c r="E4" s="3" t="s">
        <v>130</v>
      </c>
      <c r="F4" s="3" t="s">
        <v>178</v>
      </c>
      <c r="G4" s="3" t="s">
        <v>179</v>
      </c>
      <c r="H4" s="3" t="s">
        <v>180</v>
      </c>
    </row>
    <row r="5" customFormat="false" ht="15" hidden="false" customHeight="false" outlineLevel="0" collapsed="false">
      <c r="A5" s="4" t="s">
        <v>181</v>
      </c>
      <c r="B5" s="17" t="n">
        <v>0.116794</v>
      </c>
      <c r="C5" s="21" t="n">
        <v>213.081</v>
      </c>
      <c r="D5" s="21" t="n">
        <v>216.738</v>
      </c>
      <c r="E5" s="17" t="n">
        <v>0.708314</v>
      </c>
      <c r="F5" s="18" t="n">
        <v>0.000373671</v>
      </c>
      <c r="G5" s="17" t="n">
        <v>2.84138</v>
      </c>
      <c r="H5" s="17" t="n">
        <v>2.74377</v>
      </c>
    </row>
    <row r="6" customFormat="false" ht="15" hidden="false" customHeight="false" outlineLevel="0" collapsed="false">
      <c r="A6" s="5" t="s">
        <v>182</v>
      </c>
      <c r="B6" s="19" t="n">
        <v>0.699897</v>
      </c>
      <c r="C6" s="23" t="n">
        <v>163.427</v>
      </c>
      <c r="D6" s="23" t="n">
        <v>167.084</v>
      </c>
      <c r="E6" s="19" t="n">
        <v>1.42893</v>
      </c>
      <c r="F6" s="20" t="n">
        <v>0.305657</v>
      </c>
      <c r="G6" s="19" t="n">
        <v>1.62782</v>
      </c>
      <c r="H6" s="19" t="n">
        <v>1.34639</v>
      </c>
    </row>
    <row r="7" customFormat="false" ht="15" hidden="false" customHeight="false" outlineLevel="0" collapsed="false">
      <c r="A7" s="4" t="s">
        <v>183</v>
      </c>
      <c r="B7" s="17" t="n">
        <v>0.72271</v>
      </c>
      <c r="C7" s="21" t="n">
        <v>160.733</v>
      </c>
      <c r="D7" s="21" t="n">
        <v>166.218</v>
      </c>
      <c r="E7" s="17" t="n">
        <v>1.59841</v>
      </c>
      <c r="F7" s="18" t="n">
        <v>0.603066</v>
      </c>
      <c r="G7" s="17" t="n">
        <v>1.57606</v>
      </c>
      <c r="H7" s="17" t="n">
        <v>1.26506</v>
      </c>
    </row>
    <row r="8" customFormat="false" ht="15" hidden="false" customHeight="false" outlineLevel="0" collapsed="false">
      <c r="A8" s="5" t="s">
        <v>184</v>
      </c>
      <c r="B8" s="19" t="n">
        <v>0.74812</v>
      </c>
      <c r="C8" s="23" t="n">
        <v>157.229</v>
      </c>
      <c r="D8" s="23" t="n">
        <v>164.544</v>
      </c>
      <c r="E8" s="19" t="n">
        <v>1.88641</v>
      </c>
      <c r="F8" s="20" t="n">
        <v>0.981424</v>
      </c>
      <c r="G8" s="19" t="n">
        <v>1.50672</v>
      </c>
      <c r="H8" s="19" t="n">
        <v>1.18851</v>
      </c>
    </row>
    <row r="9" customFormat="false" ht="15" hidden="false" customHeight="false" outlineLevel="0" collapsed="false">
      <c r="A9" s="4" t="s">
        <v>185</v>
      </c>
      <c r="B9" s="17" t="n">
        <v>0.716426</v>
      </c>
      <c r="C9" s="21" t="n">
        <v>162.681</v>
      </c>
      <c r="D9" s="21" t="n">
        <v>169.996</v>
      </c>
      <c r="E9" s="17" t="n">
        <v>1.5567</v>
      </c>
      <c r="F9" s="18" t="n">
        <v>0.33669</v>
      </c>
      <c r="G9" s="17" t="n">
        <v>1.62767</v>
      </c>
      <c r="H9" s="17" t="n">
        <v>1.35192</v>
      </c>
    </row>
    <row r="10" customFormat="false" ht="15" hidden="false" customHeight="false" outlineLevel="0" collapsed="false">
      <c r="A10" s="5" t="s">
        <v>186</v>
      </c>
      <c r="B10" s="19" t="n">
        <v>0.761351</v>
      </c>
      <c r="C10" s="23" t="n">
        <v>156.503</v>
      </c>
      <c r="D10" s="23" t="n">
        <v>167.474</v>
      </c>
      <c r="E10" s="19" t="n">
        <v>2.02439</v>
      </c>
      <c r="F10" s="20" t="n">
        <v>0.846699</v>
      </c>
      <c r="G10" s="19" t="n">
        <v>1.50716</v>
      </c>
      <c r="H10" s="19" t="n">
        <v>1.18908</v>
      </c>
    </row>
    <row r="11" customFormat="false" ht="15" hidden="false" customHeight="false" outlineLevel="0" collapsed="false">
      <c r="A11" s="4" t="s">
        <v>187</v>
      </c>
      <c r="B11" s="17" t="n">
        <v>0.782222</v>
      </c>
      <c r="C11" s="21" t="n">
        <v>150.537</v>
      </c>
      <c r="D11" s="21" t="n">
        <v>157.852</v>
      </c>
      <c r="E11" s="17" t="n">
        <v>1.22874</v>
      </c>
      <c r="F11" s="18" t="n">
        <v>0.130493</v>
      </c>
      <c r="G11" s="17" t="n">
        <v>1.64038</v>
      </c>
      <c r="H11" s="17" t="n">
        <v>1.34699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0"/>
  </cols>
  <sheetData>
    <row r="1" customFormat="false" ht="16.1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31.5" hidden="false" customHeight="true" outlineLevel="0" collapsed="false">
      <c r="A4" s="3" t="s">
        <v>190</v>
      </c>
      <c r="B4" s="3" t="s">
        <v>125</v>
      </c>
      <c r="C4" s="3" t="s">
        <v>191</v>
      </c>
      <c r="D4" s="3" t="s">
        <v>192</v>
      </c>
      <c r="E4" s="3" t="s">
        <v>193</v>
      </c>
      <c r="F4" s="3" t="s">
        <v>194</v>
      </c>
      <c r="G4" s="3" t="s">
        <v>195</v>
      </c>
      <c r="H4" s="3" t="s">
        <v>196</v>
      </c>
    </row>
    <row r="5" customFormat="false" ht="15" hidden="false" customHeight="false" outlineLevel="0" collapsed="false">
      <c r="A5" s="4" t="s">
        <v>197</v>
      </c>
      <c r="B5" s="4" t="n">
        <v>47</v>
      </c>
      <c r="C5" s="17" t="n">
        <v>0.156412</v>
      </c>
      <c r="D5" s="17" t="n">
        <v>0.70328</v>
      </c>
      <c r="E5" s="17" t="n">
        <v>0.73947</v>
      </c>
      <c r="F5" s="17" t="n">
        <v>0.443359</v>
      </c>
      <c r="G5" s="17" t="n">
        <v>0.838618</v>
      </c>
      <c r="H5" s="17" t="n">
        <v>0.39549</v>
      </c>
    </row>
    <row r="6" customFormat="false" ht="15" hidden="false" customHeight="false" outlineLevel="0" collapsed="false">
      <c r="A6" s="5" t="s">
        <v>198</v>
      </c>
      <c r="B6" s="5" t="n">
        <v>40</v>
      </c>
      <c r="C6" s="19" t="n">
        <v>0.0816178</v>
      </c>
      <c r="D6" s="19" t="n">
        <v>0.373627</v>
      </c>
      <c r="E6" s="19" t="n">
        <v>0.458191</v>
      </c>
      <c r="F6" s="19" t="n">
        <v>0.41646</v>
      </c>
      <c r="G6" s="19" t="n">
        <v>0.611251</v>
      </c>
      <c r="H6" s="19" t="n">
        <v>0.285688</v>
      </c>
    </row>
    <row r="7" customFormat="false" ht="15" hidden="false" customHeight="false" outlineLevel="0" collapsed="false">
      <c r="A7" s="4" t="s">
        <v>199</v>
      </c>
      <c r="B7" s="4" t="n">
        <v>25</v>
      </c>
      <c r="C7" s="17" t="n">
        <v>0.0754802</v>
      </c>
      <c r="D7" s="17" t="n">
        <v>0.365023</v>
      </c>
      <c r="E7" s="17" t="n">
        <v>0.438521</v>
      </c>
      <c r="F7" s="17" t="n">
        <v>0.371002</v>
      </c>
      <c r="G7" s="17" t="n">
        <v>0.604171</v>
      </c>
      <c r="H7" s="17" t="n">
        <v>0.274737</v>
      </c>
    </row>
    <row r="8" customFormat="false" ht="15" hidden="false" customHeight="false" outlineLevel="0" collapsed="false">
      <c r="A8" s="5" t="s">
        <v>200</v>
      </c>
      <c r="B8" s="5" t="n">
        <v>22</v>
      </c>
      <c r="C8" s="19" t="n">
        <v>0.213369</v>
      </c>
      <c r="D8" s="19" t="n">
        <v>0.835479</v>
      </c>
      <c r="E8" s="19" t="n">
        <v>0.858811</v>
      </c>
      <c r="F8" s="19" t="n">
        <v>0.473336</v>
      </c>
      <c r="G8" s="19" t="n">
        <v>0.914045</v>
      </c>
      <c r="H8" s="19" t="n">
        <v>0.461919</v>
      </c>
    </row>
    <row r="9" customFormat="false" ht="15" hidden="false" customHeight="false" outlineLevel="0" collapsed="false">
      <c r="A9" s="4" t="s">
        <v>201</v>
      </c>
      <c r="B9" s="4" t="n">
        <v>46</v>
      </c>
      <c r="C9" s="17" t="n">
        <v>0.122484</v>
      </c>
      <c r="D9" s="17" t="n">
        <v>0.764115</v>
      </c>
      <c r="E9" s="17" t="n">
        <v>0.780319</v>
      </c>
      <c r="F9" s="17" t="n">
        <v>0.443097</v>
      </c>
      <c r="G9" s="17" t="n">
        <v>0.874137</v>
      </c>
      <c r="H9" s="17" t="n">
        <v>0.349977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5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31.5" hidden="false" customHeight="true" outlineLevel="0" collapsed="false">
      <c r="A4" s="3" t="s">
        <v>204</v>
      </c>
      <c r="B4" s="3" t="s">
        <v>205</v>
      </c>
      <c r="C4" s="3" t="s">
        <v>164</v>
      </c>
      <c r="D4" s="3" t="s">
        <v>206</v>
      </c>
      <c r="E4" s="3" t="s">
        <v>207</v>
      </c>
    </row>
    <row r="5" customFormat="false" ht="15" hidden="false" customHeight="false" outlineLevel="0" collapsed="false">
      <c r="A5" s="4" t="s">
        <v>208</v>
      </c>
      <c r="B5" s="17" t="n">
        <v>2.91012</v>
      </c>
      <c r="C5" s="18" t="n">
        <v>0.0652639</v>
      </c>
      <c r="D5" s="4" t="s">
        <v>209</v>
      </c>
      <c r="E5" s="4" t="s">
        <v>210</v>
      </c>
    </row>
    <row r="6" customFormat="false" ht="15" hidden="false" customHeight="false" outlineLevel="0" collapsed="false">
      <c r="A6" s="5" t="s">
        <v>211</v>
      </c>
      <c r="B6" s="19" t="n">
        <v>0.525302</v>
      </c>
      <c r="C6" s="20" t="n">
        <v>0.595123</v>
      </c>
      <c r="D6" s="5" t="s">
        <v>212</v>
      </c>
      <c r="E6" s="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6" min="5" style="0" width="20"/>
  </cols>
  <sheetData>
    <row r="1" customFormat="false" ht="16.15" hidden="false" customHeight="false" outlineLevel="0" collapsed="false">
      <c r="A1" s="1" t="s">
        <v>214</v>
      </c>
    </row>
    <row r="4" customFormat="false" ht="31.5" hidden="false" customHeight="true" outlineLevel="0" collapsed="false">
      <c r="A4" s="3" t="s">
        <v>215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</row>
    <row r="5" customFormat="false" ht="15" hidden="false" customHeight="false" outlineLevel="0" collapsed="false">
      <c r="A5" s="4" t="s">
        <v>221</v>
      </c>
      <c r="B5" s="17" t="n">
        <v>0.156412</v>
      </c>
      <c r="C5" s="17" t="n">
        <v>0.13023</v>
      </c>
      <c r="D5" s="17" t="n">
        <v>0.196585</v>
      </c>
      <c r="E5" s="17" t="n">
        <v>0.0148921</v>
      </c>
      <c r="F5" s="17" t="n">
        <v>0.347369</v>
      </c>
    </row>
    <row r="6" customFormat="false" ht="15" hidden="false" customHeight="false" outlineLevel="0" collapsed="false">
      <c r="A6" s="5" t="s">
        <v>222</v>
      </c>
      <c r="B6" s="19" t="n">
        <v>0.70328</v>
      </c>
      <c r="C6" s="19" t="n">
        <v>0.86977</v>
      </c>
      <c r="D6" s="19" t="n">
        <v>0.789063</v>
      </c>
      <c r="E6" s="19" t="n">
        <v>0.492678</v>
      </c>
      <c r="F6" s="19" t="n">
        <v>0.85509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31.5" hidden="false" customHeight="true" outlineLevel="0" collapsed="false">
      <c r="A4" s="3" t="s">
        <v>225</v>
      </c>
      <c r="B4" s="3" t="s">
        <v>226</v>
      </c>
      <c r="C4" s="3" t="s">
        <v>227</v>
      </c>
      <c r="D4" s="3" t="s">
        <v>228</v>
      </c>
    </row>
    <row r="5" customFormat="false" ht="15" hidden="false" customHeight="false" outlineLevel="0" collapsed="false">
      <c r="A5" s="4" t="s">
        <v>229</v>
      </c>
      <c r="B5" s="17" t="n">
        <v>0.211805</v>
      </c>
      <c r="C5" s="17" t="n">
        <v>0.1</v>
      </c>
      <c r="D5" s="17" t="n">
        <v>0.151626</v>
      </c>
    </row>
    <row r="6" customFormat="false" ht="15" hidden="false" customHeight="false" outlineLevel="0" collapsed="false">
      <c r="A6" s="5" t="s">
        <v>166</v>
      </c>
      <c r="B6" s="19" t="n">
        <v>0.551461</v>
      </c>
      <c r="C6" s="19" t="n">
        <v>0.1</v>
      </c>
      <c r="D6" s="19" t="n">
        <v>7.28515E-005</v>
      </c>
    </row>
    <row r="7" customFormat="false" ht="15" hidden="false" customHeight="false" outlineLevel="0" collapsed="false">
      <c r="A7" s="4" t="s">
        <v>167</v>
      </c>
      <c r="B7" s="17" t="n">
        <v>0.336249</v>
      </c>
      <c r="C7" s="17" t="n">
        <v>0.1</v>
      </c>
      <c r="D7" s="17" t="n">
        <v>0.229948</v>
      </c>
    </row>
    <row r="9" customFormat="false" ht="15" hidden="false" customHeight="false" outlineLevel="0" collapsed="false">
      <c r="A9" s="6" t="s">
        <v>230</v>
      </c>
    </row>
    <row r="10" customFormat="false" ht="31.5" hidden="false" customHeight="true" outlineLevel="0" collapsed="false">
      <c r="A10" s="3" t="s">
        <v>231</v>
      </c>
      <c r="B10" s="3" t="s">
        <v>232</v>
      </c>
      <c r="C10" s="3" t="s">
        <v>233</v>
      </c>
      <c r="D10" s="3" t="s">
        <v>234</v>
      </c>
      <c r="E10" s="3" t="s">
        <v>235</v>
      </c>
      <c r="F10" s="3" t="s">
        <v>236</v>
      </c>
      <c r="G10" s="3" t="s">
        <v>237</v>
      </c>
    </row>
    <row r="11" customFormat="false" ht="15" hidden="false" customHeight="false" outlineLevel="0" collapsed="false">
      <c r="A11" s="4" t="n">
        <v>1</v>
      </c>
      <c r="B11" s="17" t="n">
        <v>34.5563</v>
      </c>
      <c r="C11" s="17" t="n">
        <v>29.7961</v>
      </c>
      <c r="D11" s="17" t="n">
        <v>13.918</v>
      </c>
      <c r="E11" s="17" t="n">
        <v>15.4943</v>
      </c>
      <c r="F11" s="17" t="n">
        <v>20.6383</v>
      </c>
      <c r="G11" s="17" t="n">
        <v>21.1314</v>
      </c>
    </row>
    <row r="12" customFormat="false" ht="15" hidden="false" customHeight="false" outlineLevel="0" collapsed="false">
      <c r="A12" s="5" t="n">
        <v>2</v>
      </c>
      <c r="B12" s="19" t="n">
        <v>41.7734</v>
      </c>
      <c r="C12" s="19" t="n">
        <v>29.7961</v>
      </c>
      <c r="D12" s="19" t="n">
        <v>19.1655</v>
      </c>
      <c r="E12" s="19" t="n">
        <v>15.4943</v>
      </c>
      <c r="F12" s="19" t="n">
        <v>22.6079</v>
      </c>
      <c r="G12" s="19" t="n">
        <v>21.1314</v>
      </c>
    </row>
    <row r="13" customFormat="false" ht="15" hidden="false" customHeight="false" outlineLevel="0" collapsed="false">
      <c r="A13" s="4" t="n">
        <v>3</v>
      </c>
      <c r="B13" s="17" t="n">
        <v>27.0972</v>
      </c>
      <c r="C13" s="17" t="n">
        <v>29.7961</v>
      </c>
      <c r="D13" s="17" t="n">
        <v>14.2023</v>
      </c>
      <c r="E13" s="17" t="n">
        <v>15.4943</v>
      </c>
      <c r="F13" s="17" t="n">
        <v>12.8949</v>
      </c>
      <c r="G13" s="17" t="n">
        <v>21.1314</v>
      </c>
    </row>
    <row r="15" customFormat="false" ht="15" hidden="false" customHeight="false" outlineLevel="0" collapsed="false">
      <c r="A15" s="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8" min="5" style="0" width="15"/>
  </cols>
  <sheetData>
    <row r="1" customFormat="false" ht="16.1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31.5" hidden="false" customHeight="true" outlineLevel="0" collapsed="false">
      <c r="A4" s="3" t="s">
        <v>241</v>
      </c>
      <c r="B4" s="3" t="s">
        <v>242</v>
      </c>
      <c r="C4" s="3" t="s">
        <v>243</v>
      </c>
      <c r="D4" s="3" t="s">
        <v>244</v>
      </c>
      <c r="E4" s="3" t="s">
        <v>245</v>
      </c>
      <c r="F4" s="3" t="s">
        <v>246</v>
      </c>
      <c r="G4" s="3" t="s">
        <v>247</v>
      </c>
      <c r="H4" s="3" t="s">
        <v>248</v>
      </c>
    </row>
    <row r="5" customFormat="false" ht="15" hidden="false" customHeight="false" outlineLevel="0" collapsed="false">
      <c r="A5" s="4" t="n">
        <v>1</v>
      </c>
      <c r="B5" s="4" t="n">
        <v>49</v>
      </c>
      <c r="C5" s="17" t="n">
        <v>0.00198906</v>
      </c>
      <c r="D5" s="25" t="b">
        <f aca="false">TRUE()</f>
        <v>1</v>
      </c>
      <c r="E5" s="17" t="n">
        <v>0.0282454</v>
      </c>
      <c r="F5" s="17" t="n">
        <v>0.405025</v>
      </c>
      <c r="G5" s="17" t="n">
        <v>0.8511</v>
      </c>
      <c r="H5" s="17" t="n">
        <v>0.188111</v>
      </c>
    </row>
    <row r="6" customFormat="false" ht="15" hidden="false" customHeight="false" outlineLevel="0" collapsed="false">
      <c r="A6" s="5" t="n">
        <v>2</v>
      </c>
      <c r="B6" s="5" t="n">
        <v>48</v>
      </c>
      <c r="C6" s="19" t="n">
        <v>0.000970358</v>
      </c>
      <c r="D6" s="26" t="b">
        <f aca="false">TRUE()</f>
        <v>1</v>
      </c>
      <c r="E6" s="19" t="n">
        <v>0.142714</v>
      </c>
      <c r="F6" s="19" t="n">
        <v>0.561108</v>
      </c>
      <c r="G6" s="19" t="n">
        <v>0.482297</v>
      </c>
      <c r="H6" s="19" t="n">
        <v>0.437358</v>
      </c>
    </row>
    <row r="7" customFormat="false" ht="15" hidden="false" customHeight="false" outlineLevel="0" collapsed="false">
      <c r="A7" s="4" t="n">
        <v>3</v>
      </c>
      <c r="B7" s="4" t="n">
        <v>47</v>
      </c>
      <c r="C7" s="17" t="n">
        <v>0.146721</v>
      </c>
      <c r="D7" s="25" t="b">
        <f aca="false">TRUE()</f>
        <v>1</v>
      </c>
      <c r="E7" s="17" t="n">
        <v>0.000953297</v>
      </c>
      <c r="F7" s="17" t="n">
        <v>0.500738</v>
      </c>
      <c r="G7" s="17" t="n">
        <v>0.614404</v>
      </c>
      <c r="H7" s="17" t="n">
        <v>0.316002</v>
      </c>
    </row>
    <row r="8" customFormat="false" ht="15" hidden="false" customHeight="false" outlineLevel="0" collapsed="false">
      <c r="A8" s="5" t="n">
        <v>4</v>
      </c>
      <c r="B8" s="5" t="n">
        <v>46</v>
      </c>
      <c r="C8" s="19" t="n">
        <v>0.0113624</v>
      </c>
      <c r="D8" s="26" t="b">
        <f aca="false">TRUE()</f>
        <v>1</v>
      </c>
      <c r="E8" s="19" t="n">
        <v>0.0249707</v>
      </c>
      <c r="F8" s="19" t="n">
        <v>0.601818</v>
      </c>
      <c r="G8" s="19" t="n">
        <v>0.713028</v>
      </c>
      <c r="H8" s="19" t="n">
        <v>0.391747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5"/>
  </cols>
  <sheetData>
    <row r="1" customFormat="false" ht="16.1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31.5" hidden="false" customHeight="true" outlineLevel="0" collapsed="false">
      <c r="A4" s="3" t="s">
        <v>251</v>
      </c>
      <c r="B4" s="3" t="s">
        <v>252</v>
      </c>
      <c r="C4" s="3" t="s">
        <v>253</v>
      </c>
      <c r="D4" s="3" t="s">
        <v>254</v>
      </c>
      <c r="E4" s="3" t="s">
        <v>255</v>
      </c>
      <c r="F4" s="3" t="s">
        <v>256</v>
      </c>
    </row>
    <row r="5" customFormat="false" ht="15" hidden="false" customHeight="false" outlineLevel="0" collapsed="false">
      <c r="A5" s="4" t="s">
        <v>257</v>
      </c>
      <c r="B5" s="17" t="n">
        <v>0.345676</v>
      </c>
      <c r="C5" s="17" t="n">
        <v>0.0583493</v>
      </c>
      <c r="D5" s="17" t="n">
        <v>0.595974</v>
      </c>
      <c r="E5" s="17" t="n">
        <v>0.287707</v>
      </c>
      <c r="F5" s="17" t="n">
        <v>0.112259</v>
      </c>
    </row>
    <row r="6" customFormat="false" ht="15" hidden="false" customHeight="false" outlineLevel="0" collapsed="false">
      <c r="A6" s="5" t="s">
        <v>258</v>
      </c>
      <c r="B6" s="19" t="n">
        <v>0.165211</v>
      </c>
      <c r="C6" s="19" t="n">
        <v>0.0484833</v>
      </c>
      <c r="D6" s="19" t="n">
        <v>0.786306</v>
      </c>
      <c r="E6" s="19" t="n">
        <v>0.135197</v>
      </c>
      <c r="F6" s="19" t="n">
        <v>0.0943209</v>
      </c>
    </row>
    <row r="7" customFormat="false" ht="15" hidden="false" customHeight="false" outlineLevel="0" collapsed="false">
      <c r="A7" s="4" t="s">
        <v>259</v>
      </c>
      <c r="B7" s="17" t="n">
        <v>0.283695</v>
      </c>
      <c r="C7" s="17" t="n">
        <v>0.120331</v>
      </c>
      <c r="D7" s="17" t="n">
        <v>0.595974</v>
      </c>
      <c r="E7" s="17" t="n">
        <v>0.306476</v>
      </c>
      <c r="F7" s="17" t="n">
        <v>0.0934907</v>
      </c>
    </row>
    <row r="8" customFormat="false" ht="15" hidden="false" customHeight="false" outlineLevel="0" collapsed="false">
      <c r="A8" s="5" t="s">
        <v>260</v>
      </c>
      <c r="B8" s="19" t="n">
        <v>0.0970112</v>
      </c>
      <c r="C8" s="19" t="n">
        <v>0.116683</v>
      </c>
      <c r="D8" s="19" t="n">
        <v>0.786306</v>
      </c>
      <c r="E8" s="19" t="n">
        <v>0.0683479</v>
      </c>
      <c r="F8" s="19" t="n">
        <v>0.16117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31.5" hidden="false" customHeight="true" outlineLevel="0" collapsed="false">
      <c r="A4" s="3" t="s">
        <v>263</v>
      </c>
      <c r="B4" s="3" t="s">
        <v>167</v>
      </c>
      <c r="C4" s="3" t="s">
        <v>166</v>
      </c>
      <c r="D4" s="3" t="s">
        <v>229</v>
      </c>
      <c r="E4" s="3" t="s">
        <v>264</v>
      </c>
    </row>
    <row r="5" customFormat="false" ht="15" hidden="false" customHeight="false" outlineLevel="0" collapsed="false">
      <c r="A5" s="4" t="s">
        <v>265</v>
      </c>
      <c r="B5" s="17" t="n">
        <v>1.16869</v>
      </c>
      <c r="C5" s="17" t="n">
        <v>7.47731</v>
      </c>
      <c r="D5" s="17" t="n">
        <v>-14.0497</v>
      </c>
      <c r="E5" s="16" t="n">
        <v>0</v>
      </c>
    </row>
    <row r="6" customFormat="false" ht="15" hidden="false" customHeight="false" outlineLevel="0" collapsed="false">
      <c r="A6" s="5" t="s">
        <v>266</v>
      </c>
      <c r="B6" s="19" t="n">
        <v>11.2761</v>
      </c>
      <c r="C6" s="19" t="n">
        <v>13.097</v>
      </c>
      <c r="D6" s="19" t="n">
        <v>19.2808</v>
      </c>
      <c r="E6" s="22" t="n">
        <v>0</v>
      </c>
    </row>
    <row r="7" customFormat="false" ht="15" hidden="false" customHeight="false" outlineLevel="0" collapsed="false">
      <c r="A7" s="4" t="s">
        <v>267</v>
      </c>
      <c r="B7" s="17" t="n">
        <v>4.64728</v>
      </c>
      <c r="C7" s="17" t="n">
        <v>10.0234</v>
      </c>
      <c r="D7" s="17" t="n">
        <v>4.74196</v>
      </c>
      <c r="E7" s="16" t="n">
        <v>0</v>
      </c>
    </row>
    <row r="8" customFormat="false" ht="15" hidden="false" customHeight="false" outlineLevel="0" collapsed="false">
      <c r="A8" s="5" t="s">
        <v>43</v>
      </c>
      <c r="B8" s="19" t="n">
        <v>3.0266</v>
      </c>
      <c r="C8" s="19" t="n">
        <v>1.591</v>
      </c>
      <c r="D8" s="19" t="n">
        <v>15.4491</v>
      </c>
      <c r="E8" s="22" t="n">
        <v>0</v>
      </c>
    </row>
    <row r="9" customFormat="false" ht="15" hidden="false" customHeight="false" outlineLevel="0" collapsed="false">
      <c r="A9" s="4" t="s">
        <v>44</v>
      </c>
      <c r="B9" s="17" t="n">
        <v>1.38175</v>
      </c>
      <c r="C9" s="17" t="n">
        <v>6.01989</v>
      </c>
      <c r="D9" s="17" t="n">
        <v>-19.502</v>
      </c>
      <c r="E9" s="16" t="n">
        <v>0</v>
      </c>
    </row>
    <row r="10" customFormat="false" ht="15" hidden="false" customHeight="false" outlineLevel="0" collapsed="false">
      <c r="A10" s="5" t="s">
        <v>45</v>
      </c>
      <c r="B10" s="19" t="n">
        <v>5.07861</v>
      </c>
      <c r="C10" s="19" t="n">
        <v>8.71423</v>
      </c>
      <c r="D10" s="19" t="n">
        <v>17.0744</v>
      </c>
      <c r="E10" s="22" t="n">
        <v>0</v>
      </c>
    </row>
    <row r="11" customFormat="false" ht="15" hidden="false" customHeight="false" outlineLevel="0" collapsed="false">
      <c r="A11" s="4" t="s">
        <v>46</v>
      </c>
      <c r="B11" s="17" t="n">
        <v>-9.76195</v>
      </c>
      <c r="C11" s="17" t="n">
        <v>0.0623968</v>
      </c>
      <c r="D11" s="17" t="n">
        <v>-1.6267</v>
      </c>
      <c r="E11" s="16" t="n">
        <v>0</v>
      </c>
    </row>
    <row r="12" customFormat="false" ht="15" hidden="false" customHeight="false" outlineLevel="0" collapsed="false">
      <c r="A12" s="5" t="s">
        <v>47</v>
      </c>
      <c r="B12" s="19" t="n">
        <v>-9.72722</v>
      </c>
      <c r="C12" s="19" t="n">
        <v>6.25936</v>
      </c>
      <c r="D12" s="19" t="n">
        <v>8.25491</v>
      </c>
      <c r="E12" s="22" t="n">
        <v>0</v>
      </c>
    </row>
    <row r="13" customFormat="false" ht="15" hidden="false" customHeight="false" outlineLevel="0" collapsed="false">
      <c r="A13" s="4" t="s">
        <v>48</v>
      </c>
      <c r="B13" s="17" t="n">
        <v>2.08455</v>
      </c>
      <c r="C13" s="17" t="n">
        <v>5.33404</v>
      </c>
      <c r="D13" s="17" t="n">
        <v>-10.353</v>
      </c>
      <c r="E13" s="16" t="n">
        <v>0</v>
      </c>
    </row>
    <row r="14" customFormat="false" ht="15" hidden="false" customHeight="false" outlineLevel="0" collapsed="false">
      <c r="A14" s="5" t="s">
        <v>49</v>
      </c>
      <c r="B14" s="19" t="n">
        <v>-4.95428</v>
      </c>
      <c r="C14" s="19" t="n">
        <v>4.33905</v>
      </c>
      <c r="D14" s="19" t="n">
        <v>10.343</v>
      </c>
      <c r="E14" s="22" t="n">
        <v>0</v>
      </c>
    </row>
    <row r="15" customFormat="false" ht="15" hidden="false" customHeight="false" outlineLevel="0" collapsed="false">
      <c r="A15" s="4" t="s">
        <v>50</v>
      </c>
      <c r="B15" s="17" t="n">
        <v>-1.87451</v>
      </c>
      <c r="C15" s="17" t="n">
        <v>5.37738</v>
      </c>
      <c r="D15" s="17" t="n">
        <v>-1.1704</v>
      </c>
      <c r="E15" s="16" t="n">
        <v>0</v>
      </c>
    </row>
    <row r="16" customFormat="false" ht="15" hidden="false" customHeight="false" outlineLevel="0" collapsed="false">
      <c r="A16" s="5" t="s">
        <v>51</v>
      </c>
      <c r="B16" s="19" t="n">
        <v>-4.1334</v>
      </c>
      <c r="C16" s="19" t="n">
        <v>5.95356</v>
      </c>
      <c r="D16" s="19" t="n">
        <v>9.74166</v>
      </c>
      <c r="E16" s="22" t="n">
        <v>0</v>
      </c>
    </row>
    <row r="17" customFormat="false" ht="15" hidden="false" customHeight="false" outlineLevel="0" collapsed="false">
      <c r="A17" s="4" t="s">
        <v>52</v>
      </c>
      <c r="B17" s="17" t="n">
        <v>8.5029</v>
      </c>
      <c r="C17" s="17" t="n">
        <v>6.88079</v>
      </c>
      <c r="D17" s="17" t="n">
        <v>-6.28622</v>
      </c>
      <c r="E17" s="16" t="n">
        <v>0</v>
      </c>
    </row>
    <row r="18" customFormat="false" ht="15" hidden="false" customHeight="false" outlineLevel="0" collapsed="false">
      <c r="A18" s="5" t="s">
        <v>53</v>
      </c>
      <c r="B18" s="19" t="n">
        <v>1.90253</v>
      </c>
      <c r="C18" s="19" t="n">
        <v>2.42893</v>
      </c>
      <c r="D18" s="19" t="n">
        <v>5.46866</v>
      </c>
      <c r="E18" s="22" t="n">
        <v>0</v>
      </c>
    </row>
    <row r="19" customFormat="false" ht="15" hidden="false" customHeight="false" outlineLevel="0" collapsed="false">
      <c r="A19" s="4" t="s">
        <v>54</v>
      </c>
      <c r="B19" s="17" t="n">
        <v>0.900156</v>
      </c>
      <c r="C19" s="17" t="n">
        <v>-0.0393715</v>
      </c>
      <c r="D19" s="17" t="n">
        <v>1.37915</v>
      </c>
      <c r="E19" s="16" t="n">
        <v>0</v>
      </c>
    </row>
    <row r="20" customFormat="false" ht="15" hidden="false" customHeight="false" outlineLevel="0" collapsed="false">
      <c r="A20" s="5" t="s">
        <v>55</v>
      </c>
      <c r="B20" s="19" t="n">
        <v>8.35494</v>
      </c>
      <c r="C20" s="19" t="n">
        <v>5.25865</v>
      </c>
      <c r="D20" s="19" t="n">
        <v>18.5906</v>
      </c>
      <c r="E20" s="22" t="n">
        <v>0</v>
      </c>
    </row>
    <row r="21" customFormat="false" ht="15" hidden="false" customHeight="false" outlineLevel="0" collapsed="false">
      <c r="A21" s="4" t="s">
        <v>56</v>
      </c>
      <c r="B21" s="17" t="n">
        <v>-1.65211</v>
      </c>
      <c r="C21" s="17" t="n">
        <v>1.56791</v>
      </c>
      <c r="D21" s="17" t="n">
        <v>-10.7114</v>
      </c>
      <c r="E21" s="16" t="n">
        <v>0</v>
      </c>
    </row>
    <row r="22" customFormat="false" ht="15" hidden="false" customHeight="false" outlineLevel="0" collapsed="false">
      <c r="A22" s="5" t="s">
        <v>57</v>
      </c>
      <c r="B22" s="19" t="n">
        <v>3.56285</v>
      </c>
      <c r="C22" s="19" t="n">
        <v>5.44785</v>
      </c>
      <c r="D22" s="19" t="n">
        <v>10.6363</v>
      </c>
      <c r="E22" s="22" t="n">
        <v>0</v>
      </c>
    </row>
    <row r="23" customFormat="false" ht="15" hidden="false" customHeight="false" outlineLevel="0" collapsed="false">
      <c r="A23" s="4" t="s">
        <v>58</v>
      </c>
      <c r="B23" s="17" t="n">
        <v>4.80845</v>
      </c>
      <c r="C23" s="17" t="n">
        <v>6.0451</v>
      </c>
      <c r="D23" s="17" t="n">
        <v>0.73816</v>
      </c>
      <c r="E23" s="16" t="n">
        <v>0</v>
      </c>
    </row>
    <row r="24" customFormat="false" ht="15" hidden="false" customHeight="false" outlineLevel="0" collapsed="false">
      <c r="A24" s="5" t="s">
        <v>59</v>
      </c>
      <c r="B24" s="19" t="n">
        <v>4.76703</v>
      </c>
      <c r="C24" s="19" t="n">
        <v>5.40963</v>
      </c>
      <c r="D24" s="19" t="n">
        <v>7.41076</v>
      </c>
      <c r="E24" s="22" t="n">
        <v>0</v>
      </c>
    </row>
    <row r="25" customFormat="false" ht="15" hidden="false" customHeight="false" outlineLevel="0" collapsed="false">
      <c r="A25" s="4" t="s">
        <v>60</v>
      </c>
      <c r="B25" s="17" t="n">
        <v>5.51634</v>
      </c>
      <c r="C25" s="17" t="n">
        <v>2.31942</v>
      </c>
      <c r="D25" s="17" t="n">
        <v>4.44963</v>
      </c>
      <c r="E25" s="16" t="n">
        <v>0</v>
      </c>
    </row>
    <row r="26" customFormat="false" ht="15" hidden="false" customHeight="false" outlineLevel="0" collapsed="false">
      <c r="A26" s="5" t="s">
        <v>61</v>
      </c>
      <c r="B26" s="19" t="n">
        <v>4.86698</v>
      </c>
      <c r="C26" s="19" t="n">
        <v>1.85466</v>
      </c>
      <c r="D26" s="19" t="n">
        <v>7.51553</v>
      </c>
      <c r="E26" s="22" t="n">
        <v>0</v>
      </c>
    </row>
    <row r="27" customFormat="false" ht="15" hidden="false" customHeight="false" outlineLevel="0" collapsed="false">
      <c r="A27" s="4" t="s">
        <v>62</v>
      </c>
      <c r="B27" s="17" t="n">
        <v>2.71492</v>
      </c>
      <c r="C27" s="17" t="n">
        <v>1.20254</v>
      </c>
      <c r="D27" s="17" t="n">
        <v>2.66497</v>
      </c>
      <c r="E27" s="16" t="n">
        <v>0</v>
      </c>
    </row>
    <row r="28" customFormat="false" ht="15" hidden="false" customHeight="false" outlineLevel="0" collapsed="false">
      <c r="A28" s="5" t="s">
        <v>63</v>
      </c>
      <c r="B28" s="19" t="n">
        <v>-1.246</v>
      </c>
      <c r="C28" s="19" t="n">
        <v>4.86572</v>
      </c>
      <c r="D28" s="19" t="n">
        <v>-18.5984</v>
      </c>
      <c r="E28" s="22" t="n">
        <v>0</v>
      </c>
    </row>
    <row r="29" customFormat="false" ht="15" hidden="false" customHeight="false" outlineLevel="0" collapsed="false">
      <c r="A29" s="4" t="s">
        <v>64</v>
      </c>
      <c r="B29" s="17" t="n">
        <v>4.54614</v>
      </c>
      <c r="C29" s="17" t="n">
        <v>4.68385</v>
      </c>
      <c r="D29" s="17" t="n">
        <v>20.4752</v>
      </c>
      <c r="E29" s="16" t="n">
        <v>0</v>
      </c>
    </row>
    <row r="30" customFormat="false" ht="15" hidden="false" customHeight="false" outlineLevel="0" collapsed="false">
      <c r="A30" s="5" t="s">
        <v>65</v>
      </c>
      <c r="B30" s="19" t="n">
        <v>-2.17429</v>
      </c>
      <c r="C30" s="19" t="n">
        <v>3.40705</v>
      </c>
      <c r="D30" s="19" t="n">
        <v>-3.73544</v>
      </c>
      <c r="E30" s="22" t="n">
        <v>0</v>
      </c>
    </row>
    <row r="31" customFormat="false" ht="15" hidden="false" customHeight="false" outlineLevel="0" collapsed="false">
      <c r="A31" s="4" t="s">
        <v>66</v>
      </c>
      <c r="B31" s="17" t="n">
        <v>3.56387</v>
      </c>
      <c r="C31" s="17" t="n">
        <v>10.2309</v>
      </c>
      <c r="D31" s="17" t="n">
        <v>9.83874</v>
      </c>
      <c r="E31" s="16" t="n">
        <v>0</v>
      </c>
    </row>
    <row r="32" customFormat="false" ht="15" hidden="false" customHeight="false" outlineLevel="0" collapsed="false">
      <c r="A32" s="5" t="s">
        <v>67</v>
      </c>
      <c r="B32" s="19" t="n">
        <v>2.5443</v>
      </c>
      <c r="C32" s="19" t="n">
        <v>8.00297</v>
      </c>
      <c r="D32" s="19" t="n">
        <v>-10.421</v>
      </c>
      <c r="E32" s="22" t="n">
        <v>0</v>
      </c>
    </row>
    <row r="33" customFormat="false" ht="15" hidden="false" customHeight="false" outlineLevel="0" collapsed="false">
      <c r="A33" s="4" t="s">
        <v>68</v>
      </c>
      <c r="B33" s="17" t="n">
        <v>-12.7331</v>
      </c>
      <c r="C33" s="17" t="n">
        <v>4.31984</v>
      </c>
      <c r="D33" s="17" t="n">
        <v>13.2836</v>
      </c>
      <c r="E33" s="16" t="n">
        <v>1</v>
      </c>
    </row>
    <row r="34" customFormat="false" ht="15" hidden="false" customHeight="false" outlineLevel="0" collapsed="false">
      <c r="A34" s="5" t="s">
        <v>69</v>
      </c>
      <c r="B34" s="19" t="n">
        <v>8.90729</v>
      </c>
      <c r="C34" s="19" t="n">
        <v>4.62625</v>
      </c>
      <c r="D34" s="19" t="n">
        <v>-0.474449</v>
      </c>
      <c r="E34" s="22" t="n">
        <v>1</v>
      </c>
    </row>
    <row r="35" customFormat="false" ht="15" hidden="false" customHeight="false" outlineLevel="0" collapsed="false">
      <c r="A35" s="4" t="s">
        <v>70</v>
      </c>
      <c r="B35" s="17" t="n">
        <v>8.92894</v>
      </c>
      <c r="C35" s="17" t="n">
        <v>8.23637</v>
      </c>
      <c r="D35" s="17" t="n">
        <v>15.9515</v>
      </c>
      <c r="E35" s="16" t="n">
        <v>0</v>
      </c>
    </row>
    <row r="36" customFormat="false" ht="15" hidden="false" customHeight="false" outlineLevel="0" collapsed="false">
      <c r="A36" s="5" t="s">
        <v>71</v>
      </c>
      <c r="B36" s="19" t="n">
        <v>14.9308</v>
      </c>
      <c r="C36" s="19" t="n">
        <v>2.33063</v>
      </c>
      <c r="D36" s="19" t="n">
        <v>2.8272</v>
      </c>
      <c r="E36" s="22" t="n">
        <v>0</v>
      </c>
    </row>
    <row r="37" customFormat="false" ht="15" hidden="false" customHeight="false" outlineLevel="0" collapsed="false">
      <c r="A37" s="4" t="s">
        <v>72</v>
      </c>
      <c r="B37" s="17" t="n">
        <v>12.7537</v>
      </c>
      <c r="C37" s="17" t="n">
        <v>7.08074</v>
      </c>
      <c r="D37" s="17" t="n">
        <v>13.9148</v>
      </c>
      <c r="E37" s="16" t="n">
        <v>0</v>
      </c>
    </row>
    <row r="38" customFormat="false" ht="15" hidden="false" customHeight="false" outlineLevel="0" collapsed="false">
      <c r="A38" s="5" t="s">
        <v>73</v>
      </c>
      <c r="B38" s="19" t="n">
        <v>7.84687</v>
      </c>
      <c r="C38" s="19" t="n">
        <v>2.65837</v>
      </c>
      <c r="D38" s="19" t="n">
        <v>-0.881125</v>
      </c>
      <c r="E38" s="22" t="n">
        <v>0</v>
      </c>
    </row>
    <row r="39" customFormat="false" ht="15" hidden="false" customHeight="false" outlineLevel="0" collapsed="false">
      <c r="A39" s="4" t="s">
        <v>74</v>
      </c>
      <c r="B39" s="17" t="n">
        <v>18.3378</v>
      </c>
      <c r="C39" s="17" t="n">
        <v>8.00592</v>
      </c>
      <c r="D39" s="17" t="n">
        <v>16.62</v>
      </c>
      <c r="E39" s="16" t="n">
        <v>0</v>
      </c>
    </row>
    <row r="40" customFormat="false" ht="15" hidden="false" customHeight="false" outlineLevel="0" collapsed="false">
      <c r="A40" s="5" t="s">
        <v>75</v>
      </c>
      <c r="B40" s="19" t="n">
        <v>13.4813</v>
      </c>
      <c r="C40" s="19" t="n">
        <v>7.36374</v>
      </c>
      <c r="D40" s="19" t="n">
        <v>2.69501</v>
      </c>
      <c r="E40" s="22" t="n">
        <v>0</v>
      </c>
    </row>
    <row r="41" customFormat="false" ht="15" hidden="false" customHeight="false" outlineLevel="0" collapsed="false">
      <c r="A41" s="4" t="s">
        <v>76</v>
      </c>
      <c r="B41" s="17" t="n">
        <v>20.2919</v>
      </c>
      <c r="C41" s="17" t="n">
        <v>10.5783</v>
      </c>
      <c r="D41" s="17" t="n">
        <v>21.6976</v>
      </c>
      <c r="E41" s="16" t="n">
        <v>0</v>
      </c>
    </row>
    <row r="42" customFormat="false" ht="15" hidden="false" customHeight="false" outlineLevel="0" collapsed="false">
      <c r="A42" s="5" t="s">
        <v>77</v>
      </c>
      <c r="B42" s="19" t="n">
        <v>-5.18878</v>
      </c>
      <c r="C42" s="19" t="n">
        <v>1.77038</v>
      </c>
      <c r="D42" s="19" t="n">
        <v>-9.26583</v>
      </c>
      <c r="E42" s="22" t="n">
        <v>0</v>
      </c>
    </row>
    <row r="43" customFormat="false" ht="15" hidden="false" customHeight="false" outlineLevel="0" collapsed="false">
      <c r="A43" s="4" t="s">
        <v>78</v>
      </c>
      <c r="B43" s="17" t="n">
        <v>-2.73412</v>
      </c>
      <c r="C43" s="17" t="n">
        <v>4.54956</v>
      </c>
      <c r="D43" s="17" t="n">
        <v>-0.0479086</v>
      </c>
      <c r="E43" s="16" t="n">
        <v>0</v>
      </c>
    </row>
    <row r="44" customFormat="false" ht="15" hidden="false" customHeight="false" outlineLevel="0" collapsed="false">
      <c r="A44" s="5" t="s">
        <v>79</v>
      </c>
      <c r="B44" s="19" t="n">
        <v>1.05665</v>
      </c>
      <c r="C44" s="19" t="n">
        <v>7.69012</v>
      </c>
      <c r="D44" s="19" t="n">
        <v>-5.08768</v>
      </c>
      <c r="E44" s="22" t="n">
        <v>0</v>
      </c>
    </row>
    <row r="45" customFormat="false" ht="15" hidden="false" customHeight="false" outlineLevel="0" collapsed="false">
      <c r="A45" s="4" t="s">
        <v>80</v>
      </c>
      <c r="B45" s="17" t="n">
        <v>-4.49026</v>
      </c>
      <c r="C45" s="17" t="n">
        <v>4.58497</v>
      </c>
      <c r="D45" s="17" t="n">
        <v>18.9015</v>
      </c>
      <c r="E45" s="16" t="n">
        <v>0</v>
      </c>
    </row>
    <row r="46" customFormat="false" ht="15" hidden="false" customHeight="false" outlineLevel="0" collapsed="false">
      <c r="A46" s="5" t="s">
        <v>81</v>
      </c>
      <c r="B46" s="19" t="n">
        <v>4.11806</v>
      </c>
      <c r="C46" s="19" t="n">
        <v>8.58491</v>
      </c>
      <c r="D46" s="19" t="n">
        <v>-3.9155</v>
      </c>
      <c r="E46" s="22" t="n">
        <v>0</v>
      </c>
    </row>
    <row r="47" customFormat="false" ht="15" hidden="false" customHeight="false" outlineLevel="0" collapsed="false">
      <c r="A47" s="4" t="s">
        <v>82</v>
      </c>
      <c r="B47" s="17" t="n">
        <v>0.939176</v>
      </c>
      <c r="C47" s="17" t="n">
        <v>0.565135</v>
      </c>
      <c r="D47" s="17" t="n">
        <v>2.17314</v>
      </c>
      <c r="E47" s="16" t="n">
        <v>0</v>
      </c>
    </row>
    <row r="48" customFormat="false" ht="15" hidden="false" customHeight="false" outlineLevel="0" collapsed="false">
      <c r="A48" s="5" t="s">
        <v>83</v>
      </c>
      <c r="B48" s="19" t="n">
        <v>0.801867</v>
      </c>
      <c r="C48" s="19" t="n">
        <v>6.33831</v>
      </c>
      <c r="D48" s="19" t="n">
        <v>-3.93857</v>
      </c>
      <c r="E48" s="22" t="n">
        <v>0</v>
      </c>
    </row>
    <row r="49" customFormat="false" ht="15" hidden="false" customHeight="false" outlineLevel="0" collapsed="false">
      <c r="A49" s="4" t="s">
        <v>84</v>
      </c>
      <c r="B49" s="17" t="n">
        <v>4.12353</v>
      </c>
      <c r="C49" s="17" t="n">
        <v>4.16996</v>
      </c>
      <c r="D49" s="17" t="n">
        <v>17.1336</v>
      </c>
      <c r="E49" s="16" t="n">
        <v>0</v>
      </c>
    </row>
    <row r="50" customFormat="false" ht="15" hidden="false" customHeight="false" outlineLevel="0" collapsed="false">
      <c r="A50" s="5" t="s">
        <v>85</v>
      </c>
      <c r="B50" s="19" t="n">
        <v>1.39579</v>
      </c>
      <c r="C50" s="19" t="n">
        <v>6.0404</v>
      </c>
      <c r="D50" s="19" t="n">
        <v>-5.56268</v>
      </c>
      <c r="E50" s="22" t="n">
        <v>0</v>
      </c>
    </row>
    <row r="51" customFormat="false" ht="15" hidden="false" customHeight="false" outlineLevel="0" collapsed="false">
      <c r="A51" s="4" t="s">
        <v>86</v>
      </c>
      <c r="B51" s="17" t="n">
        <v>3.83571</v>
      </c>
      <c r="C51" s="17" t="n">
        <v>5.87993</v>
      </c>
      <c r="D51" s="17" t="n">
        <v>6.64784</v>
      </c>
      <c r="E51" s="16" t="n">
        <v>0</v>
      </c>
    </row>
    <row r="52" customFormat="false" ht="15" hidden="false" customHeight="false" outlineLevel="0" collapsed="false">
      <c r="A52" s="5" t="s">
        <v>87</v>
      </c>
      <c r="B52" s="19" t="n">
        <v>0.44887</v>
      </c>
      <c r="C52" s="19" t="n">
        <v>-0.92446</v>
      </c>
      <c r="D52" s="19" t="n">
        <v>-6.02018</v>
      </c>
      <c r="E52" s="22" t="n">
        <v>0</v>
      </c>
    </row>
    <row r="53" customFormat="false" ht="15" hidden="false" customHeight="false" outlineLevel="0" collapsed="false">
      <c r="A53" s="4" t="s">
        <v>88</v>
      </c>
      <c r="B53" s="17" t="n">
        <v>-4.32944</v>
      </c>
      <c r="C53" s="17" t="n">
        <v>0.133809</v>
      </c>
      <c r="D53" s="17" t="n">
        <v>8.47934</v>
      </c>
      <c r="E53" s="16" t="n">
        <v>0</v>
      </c>
    </row>
    <row r="54" customFormat="false" ht="15" hidden="false" customHeight="false" outlineLevel="0" collapsed="false">
      <c r="A54" s="5" t="s">
        <v>89</v>
      </c>
      <c r="B54" s="19" t="n">
        <v>0.5268</v>
      </c>
      <c r="C54" s="19" t="n">
        <v>2.18178</v>
      </c>
      <c r="D54" s="19" t="n">
        <v>-7.42521</v>
      </c>
      <c r="E54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</cols>
  <sheetData>
    <row r="1" customFormat="false" ht="16.15" hidden="false" customHeight="false" outlineLevel="0" collapsed="false">
      <c r="A1" s="1" t="s">
        <v>268</v>
      </c>
    </row>
    <row r="4" customFormat="false" ht="31.5" hidden="false" customHeight="true" outlineLevel="0" collapsed="false">
      <c r="A4" s="3" t="s">
        <v>35</v>
      </c>
      <c r="B4" s="3" t="s">
        <v>195</v>
      </c>
      <c r="C4" s="3" t="s">
        <v>196</v>
      </c>
    </row>
    <row r="5" customFormat="false" ht="15" hidden="false" customHeight="false" outlineLevel="0" collapsed="false">
      <c r="A5" s="4" t="s">
        <v>62</v>
      </c>
      <c r="B5" s="17" t="n">
        <v>0.821676</v>
      </c>
      <c r="C5" s="17" t="n">
        <v>0.1076</v>
      </c>
    </row>
    <row r="6" customFormat="false" ht="15" hidden="false" customHeight="false" outlineLevel="0" collapsed="false">
      <c r="A6" s="5" t="s">
        <v>63</v>
      </c>
      <c r="B6" s="19" t="n">
        <v>0.60798</v>
      </c>
      <c r="C6" s="19" t="n">
        <v>0.0841891</v>
      </c>
    </row>
    <row r="7" customFormat="false" ht="15" hidden="false" customHeight="false" outlineLevel="0" collapsed="false">
      <c r="A7" s="4" t="s">
        <v>64</v>
      </c>
      <c r="B7" s="17" t="n">
        <v>0.576869</v>
      </c>
      <c r="C7" s="17" t="n">
        <v>-0.0477476</v>
      </c>
    </row>
    <row r="8" customFormat="false" ht="15" hidden="false" customHeight="false" outlineLevel="0" collapsed="false">
      <c r="A8" s="5" t="s">
        <v>65</v>
      </c>
      <c r="B8" s="19" t="n">
        <v>0.532465</v>
      </c>
      <c r="C8" s="19" t="n">
        <v>-0.0906842</v>
      </c>
    </row>
    <row r="9" customFormat="false" ht="15" hidden="false" customHeight="false" outlineLevel="0" collapsed="false">
      <c r="A9" s="4" t="s">
        <v>66</v>
      </c>
      <c r="B9" s="17" t="n">
        <v>0.529562</v>
      </c>
      <c r="C9" s="17" t="n">
        <v>-0.126265</v>
      </c>
    </row>
    <row r="10" customFormat="false" ht="15" hidden="false" customHeight="false" outlineLevel="0" collapsed="false">
      <c r="A10" s="5" t="s">
        <v>67</v>
      </c>
      <c r="B10" s="19" t="n">
        <v>0.493649</v>
      </c>
      <c r="C10" s="19" t="n">
        <v>-0.00885322</v>
      </c>
    </row>
    <row r="11" customFormat="false" ht="15" hidden="false" customHeight="false" outlineLevel="0" collapsed="false">
      <c r="A11" s="4" t="s">
        <v>68</v>
      </c>
      <c r="B11" s="17" t="n">
        <v>0.543729</v>
      </c>
      <c r="C11" s="17" t="n">
        <v>-0.0540212</v>
      </c>
    </row>
    <row r="12" customFormat="false" ht="15" hidden="false" customHeight="false" outlineLevel="0" collapsed="false">
      <c r="A12" s="5" t="s">
        <v>69</v>
      </c>
      <c r="B12" s="19" t="n">
        <v>0.539733</v>
      </c>
      <c r="C12" s="19" t="n">
        <v>-0.0638687</v>
      </c>
    </row>
    <row r="13" customFormat="false" ht="15" hidden="false" customHeight="false" outlineLevel="0" collapsed="false">
      <c r="A13" s="4" t="s">
        <v>70</v>
      </c>
      <c r="B13" s="17" t="n">
        <v>0.519399</v>
      </c>
      <c r="C13" s="17" t="n">
        <v>0.014542</v>
      </c>
    </row>
    <row r="14" customFormat="false" ht="15" hidden="false" customHeight="false" outlineLevel="0" collapsed="false">
      <c r="A14" s="5" t="s">
        <v>71</v>
      </c>
      <c r="B14" s="19" t="n">
        <v>0.583812</v>
      </c>
      <c r="C14" s="19" t="n">
        <v>0.0575687</v>
      </c>
    </row>
    <row r="15" customFormat="false" ht="15" hidden="false" customHeight="false" outlineLevel="0" collapsed="false">
      <c r="A15" s="4" t="s">
        <v>72</v>
      </c>
      <c r="B15" s="17" t="n">
        <v>0.69846</v>
      </c>
      <c r="C15" s="17" t="n">
        <v>0.13724</v>
      </c>
    </row>
    <row r="16" customFormat="false" ht="15" hidden="false" customHeight="false" outlineLevel="0" collapsed="false">
      <c r="A16" s="5" t="s">
        <v>73</v>
      </c>
      <c r="B16" s="19" t="n">
        <v>0.74155</v>
      </c>
      <c r="C16" s="19" t="n">
        <v>0.183772</v>
      </c>
    </row>
    <row r="17" customFormat="false" ht="15" hidden="false" customHeight="false" outlineLevel="0" collapsed="false">
      <c r="A17" s="4" t="s">
        <v>74</v>
      </c>
      <c r="B17" s="17" t="n">
        <v>0.766053</v>
      </c>
      <c r="C17" s="17" t="n">
        <v>0.184201</v>
      </c>
    </row>
    <row r="18" customFormat="false" ht="15" hidden="false" customHeight="false" outlineLevel="0" collapsed="false">
      <c r="A18" s="5" t="s">
        <v>75</v>
      </c>
      <c r="B18" s="19" t="n">
        <v>0.790061</v>
      </c>
      <c r="C18" s="19" t="n">
        <v>0.258334</v>
      </c>
    </row>
    <row r="19" customFormat="false" ht="15" hidden="false" customHeight="false" outlineLevel="0" collapsed="false">
      <c r="A19" s="4" t="s">
        <v>76</v>
      </c>
      <c r="B19" s="17" t="n">
        <v>0.83054</v>
      </c>
      <c r="C19" s="17" t="n">
        <v>0.365689</v>
      </c>
    </row>
    <row r="20" customFormat="false" ht="15" hidden="false" customHeight="false" outlineLevel="0" collapsed="false">
      <c r="A20" s="5" t="s">
        <v>77</v>
      </c>
      <c r="B20" s="19" t="n">
        <v>0.846608</v>
      </c>
      <c r="C20" s="19" t="n">
        <v>0.428732</v>
      </c>
    </row>
    <row r="21" customFormat="false" ht="15" hidden="false" customHeight="false" outlineLevel="0" collapsed="false">
      <c r="A21" s="4" t="s">
        <v>78</v>
      </c>
      <c r="B21" s="17" t="n">
        <v>0.842071</v>
      </c>
      <c r="C21" s="17" t="n">
        <v>0.410295</v>
      </c>
    </row>
    <row r="22" customFormat="false" ht="15" hidden="false" customHeight="false" outlineLevel="0" collapsed="false">
      <c r="A22" s="5" t="s">
        <v>79</v>
      </c>
      <c r="B22" s="19" t="n">
        <v>0.838469</v>
      </c>
      <c r="C22" s="19" t="n">
        <v>0.35139</v>
      </c>
    </row>
    <row r="23" customFormat="false" ht="15" hidden="false" customHeight="false" outlineLevel="0" collapsed="false">
      <c r="A23" s="4" t="s">
        <v>80</v>
      </c>
      <c r="B23" s="17" t="n">
        <v>0.856296</v>
      </c>
      <c r="C23" s="17" t="n">
        <v>0.371652</v>
      </c>
    </row>
    <row r="24" customFormat="false" ht="15" hidden="false" customHeight="false" outlineLevel="0" collapsed="false">
      <c r="A24" s="5" t="s">
        <v>81</v>
      </c>
      <c r="B24" s="19" t="n">
        <v>0.859691</v>
      </c>
      <c r="C24" s="19" t="n">
        <v>0.352919</v>
      </c>
    </row>
    <row r="25" customFormat="false" ht="15" hidden="false" customHeight="false" outlineLevel="0" collapsed="false">
      <c r="A25" s="4" t="s">
        <v>82</v>
      </c>
      <c r="B25" s="17" t="n">
        <v>0.864152</v>
      </c>
      <c r="C25" s="17" t="n">
        <v>0.429712</v>
      </c>
    </row>
    <row r="26" customFormat="false" ht="15" hidden="false" customHeight="false" outlineLevel="0" collapsed="false">
      <c r="A26" s="5" t="s">
        <v>83</v>
      </c>
      <c r="B26" s="19" t="n">
        <v>0.905224</v>
      </c>
      <c r="C26" s="19" t="n">
        <v>0.29204</v>
      </c>
    </row>
    <row r="27" customFormat="false" ht="15" hidden="false" customHeight="false" outlineLevel="0" collapsed="false">
      <c r="A27" s="4" t="s">
        <v>84</v>
      </c>
      <c r="B27" s="17" t="n">
        <v>0.905321</v>
      </c>
      <c r="C27" s="17" t="n">
        <v>0.286943</v>
      </c>
    </row>
    <row r="28" customFormat="false" ht="15" hidden="false" customHeight="false" outlineLevel="0" collapsed="false">
      <c r="A28" s="5" t="s">
        <v>85</v>
      </c>
      <c r="B28" s="19" t="n">
        <v>0.918493</v>
      </c>
      <c r="C28" s="19" t="n">
        <v>0.186983</v>
      </c>
    </row>
    <row r="29" customFormat="false" ht="15" hidden="false" customHeight="false" outlineLevel="0" collapsed="false">
      <c r="A29" s="4" t="s">
        <v>86</v>
      </c>
      <c r="B29" s="17" t="n">
        <v>0.919389</v>
      </c>
      <c r="C29" s="17" t="n">
        <v>0.196555</v>
      </c>
    </row>
    <row r="30" customFormat="false" ht="15" hidden="false" customHeight="false" outlineLevel="0" collapsed="false">
      <c r="A30" s="5" t="s">
        <v>87</v>
      </c>
      <c r="B30" s="19" t="n">
        <v>0.920211</v>
      </c>
      <c r="C30" s="19" t="n">
        <v>0.259297</v>
      </c>
    </row>
    <row r="31" customFormat="false" ht="15" hidden="false" customHeight="false" outlineLevel="0" collapsed="false">
      <c r="A31" s="4" t="s">
        <v>88</v>
      </c>
      <c r="B31" s="17" t="n">
        <v>0.916696</v>
      </c>
      <c r="C31" s="17" t="n">
        <v>0.426209</v>
      </c>
    </row>
    <row r="32" customFormat="false" ht="15" hidden="false" customHeight="false" outlineLevel="0" collapsed="false">
      <c r="A32" s="5" t="s">
        <v>89</v>
      </c>
      <c r="B32" s="19" t="n">
        <v>0.914659</v>
      </c>
      <c r="C32" s="19" t="n">
        <v>0.56467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5"/>
  </cols>
  <sheetData>
    <row r="1" customFormat="false" ht="16.1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31.5" hidden="false" customHeight="true" outlineLevel="0" collapsed="false">
      <c r="A4" s="3" t="s">
        <v>271</v>
      </c>
      <c r="B4" s="3" t="s">
        <v>272</v>
      </c>
      <c r="C4" s="3" t="s">
        <v>273</v>
      </c>
    </row>
    <row r="5" customFormat="false" ht="15" hidden="false" customHeight="false" outlineLevel="0" collapsed="false">
      <c r="A5" s="4" t="n">
        <v>-4</v>
      </c>
      <c r="B5" s="17" t="n">
        <v>0.239763</v>
      </c>
      <c r="C5" s="17" t="n">
        <v>0.228713</v>
      </c>
    </row>
    <row r="6" customFormat="false" ht="15" hidden="false" customHeight="false" outlineLevel="0" collapsed="false">
      <c r="A6" s="5" t="n">
        <v>-3</v>
      </c>
      <c r="B6" s="19" t="n">
        <v>0.48727</v>
      </c>
      <c r="C6" s="19" t="n">
        <v>0.18194</v>
      </c>
    </row>
    <row r="7" customFormat="false" ht="15" hidden="false" customHeight="false" outlineLevel="0" collapsed="false">
      <c r="A7" s="4" t="n">
        <v>-2</v>
      </c>
      <c r="B7" s="17" t="n">
        <v>0.675668</v>
      </c>
      <c r="C7" s="17" t="n">
        <v>0.230531</v>
      </c>
    </row>
    <row r="8" customFormat="false" ht="15" hidden="false" customHeight="false" outlineLevel="0" collapsed="false">
      <c r="A8" s="5" t="n">
        <v>-1</v>
      </c>
      <c r="B8" s="19" t="n">
        <v>0.795145</v>
      </c>
      <c r="C8" s="19" t="n">
        <v>0.268685</v>
      </c>
    </row>
    <row r="9" customFormat="false" ht="15" hidden="false" customHeight="false" outlineLevel="0" collapsed="false">
      <c r="A9" s="4" t="n">
        <v>0</v>
      </c>
      <c r="B9" s="17" t="n">
        <v>0.838618</v>
      </c>
      <c r="C9" s="17" t="n">
        <v>0.39549</v>
      </c>
    </row>
    <row r="10" customFormat="false" ht="15" hidden="false" customHeight="false" outlineLevel="0" collapsed="false">
      <c r="A10" s="5" t="n">
        <v>1</v>
      </c>
      <c r="B10" s="19" t="n">
        <v>0.639599</v>
      </c>
      <c r="C10" s="19" t="n">
        <v>0.308377</v>
      </c>
    </row>
    <row r="11" customFormat="false" ht="15" hidden="false" customHeight="false" outlineLevel="0" collapsed="false">
      <c r="A11" s="4" t="n">
        <v>2</v>
      </c>
      <c r="B11" s="17" t="n">
        <v>0.428707</v>
      </c>
      <c r="C11" s="17" t="n">
        <v>0.168911</v>
      </c>
    </row>
    <row r="12" customFormat="false" ht="15" hidden="false" customHeight="false" outlineLevel="0" collapsed="false">
      <c r="A12" s="5" t="n">
        <v>3</v>
      </c>
      <c r="B12" s="19" t="n">
        <v>0.20242</v>
      </c>
      <c r="C12" s="19" t="n">
        <v>0.0920724</v>
      </c>
    </row>
    <row r="13" customFormat="false" ht="15" hidden="false" customHeight="false" outlineLevel="0" collapsed="false">
      <c r="A13" s="4" t="n">
        <v>4</v>
      </c>
      <c r="B13" s="17" t="n">
        <v>0.042753</v>
      </c>
      <c r="C13" s="17" t="n">
        <v>0.108481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6" min="4" style="0" width="10"/>
  </cols>
  <sheetData>
    <row r="1" customFormat="false" ht="16.1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31.5" hidden="false" customHeight="true" outlineLevel="0" collapsed="false">
      <c r="A4" s="3" t="s">
        <v>35</v>
      </c>
      <c r="B4" s="3" t="s">
        <v>276</v>
      </c>
      <c r="C4" s="3" t="s">
        <v>277</v>
      </c>
      <c r="D4" s="3" t="s">
        <v>166</v>
      </c>
      <c r="E4" s="3" t="s">
        <v>167</v>
      </c>
      <c r="F4" s="3" t="s">
        <v>229</v>
      </c>
    </row>
    <row r="5" customFormat="false" ht="15" hidden="false" customHeight="false" outlineLevel="0" collapsed="false">
      <c r="A5" s="4" t="s">
        <v>278</v>
      </c>
      <c r="B5" s="27" t="n">
        <v>2102860</v>
      </c>
      <c r="C5" s="27" t="n">
        <v>2043500</v>
      </c>
      <c r="D5" s="10"/>
      <c r="E5" s="10"/>
      <c r="F5" s="10" t="n">
        <v>97.1769</v>
      </c>
    </row>
    <row r="6" customFormat="false" ht="15" hidden="false" customHeight="false" outlineLevel="0" collapsed="false">
      <c r="A6" s="5" t="s">
        <v>279</v>
      </c>
      <c r="B6" s="28" t="n">
        <v>2042870</v>
      </c>
      <c r="C6" s="28" t="n">
        <v>2029470</v>
      </c>
      <c r="D6" s="13"/>
      <c r="E6" s="13"/>
      <c r="F6" s="13" t="n">
        <v>99.344</v>
      </c>
    </row>
    <row r="7" customFormat="false" ht="15" hidden="false" customHeight="false" outlineLevel="0" collapsed="false">
      <c r="A7" s="4" t="s">
        <v>280</v>
      </c>
      <c r="B7" s="27" t="n">
        <v>2225140</v>
      </c>
      <c r="C7" s="27" t="n">
        <v>2244850</v>
      </c>
      <c r="D7" s="10"/>
      <c r="E7" s="10"/>
      <c r="F7" s="10" t="n">
        <v>100.886</v>
      </c>
    </row>
    <row r="8" customFormat="false" ht="15" hidden="false" customHeight="false" outlineLevel="0" collapsed="false">
      <c r="A8" s="5" t="s">
        <v>281</v>
      </c>
      <c r="B8" s="28" t="n">
        <v>2365460</v>
      </c>
      <c r="C8" s="28" t="n">
        <v>2418510</v>
      </c>
      <c r="D8" s="13"/>
      <c r="E8" s="13"/>
      <c r="F8" s="13" t="n">
        <v>102.243</v>
      </c>
    </row>
    <row r="9" customFormat="false" ht="15" hidden="false" customHeight="false" outlineLevel="0" collapsed="false">
      <c r="A9" s="4" t="s">
        <v>282</v>
      </c>
      <c r="B9" s="27" t="n">
        <v>2205220</v>
      </c>
      <c r="C9" s="27" t="n">
        <v>2313200</v>
      </c>
      <c r="D9" s="10"/>
      <c r="E9" s="10"/>
      <c r="F9" s="10" t="n">
        <v>104.897</v>
      </c>
    </row>
    <row r="10" customFormat="false" ht="15" hidden="false" customHeight="false" outlineLevel="0" collapsed="false">
      <c r="A10" s="5" t="s">
        <v>283</v>
      </c>
      <c r="B10" s="28" t="n">
        <v>2195950</v>
      </c>
      <c r="C10" s="28" t="n">
        <v>2356950</v>
      </c>
      <c r="D10" s="13"/>
      <c r="E10" s="13"/>
      <c r="F10" s="13" t="n">
        <v>107.332</v>
      </c>
    </row>
    <row r="11" customFormat="false" ht="15" hidden="false" customHeight="false" outlineLevel="0" collapsed="false">
      <c r="A11" s="4" t="s">
        <v>284</v>
      </c>
      <c r="B11" s="27" t="n">
        <v>2344770</v>
      </c>
      <c r="C11" s="27" t="n">
        <v>2548380</v>
      </c>
      <c r="D11" s="10"/>
      <c r="E11" s="10"/>
      <c r="F11" s="10" t="n">
        <v>108.684</v>
      </c>
    </row>
    <row r="12" customFormat="false" ht="15" hidden="false" customHeight="false" outlineLevel="0" collapsed="false">
      <c r="A12" s="5" t="s">
        <v>285</v>
      </c>
      <c r="B12" s="28" t="n">
        <v>2467080</v>
      </c>
      <c r="C12" s="28" t="n">
        <v>2725480</v>
      </c>
      <c r="D12" s="13" t="n">
        <v>105.133</v>
      </c>
      <c r="E12" s="13" t="n">
        <v>108.333</v>
      </c>
      <c r="F12" s="13" t="n">
        <v>110.474</v>
      </c>
    </row>
    <row r="13" customFormat="false" ht="15" hidden="false" customHeight="false" outlineLevel="0" collapsed="false">
      <c r="A13" s="4" t="s">
        <v>265</v>
      </c>
      <c r="B13" s="27" t="n">
        <v>2347400</v>
      </c>
      <c r="C13" s="27" t="n">
        <v>2565370</v>
      </c>
      <c r="D13" s="10" t="n">
        <v>107.433</v>
      </c>
      <c r="E13" s="10" t="n">
        <v>109.1</v>
      </c>
      <c r="F13" s="10" t="n">
        <v>109.286</v>
      </c>
    </row>
    <row r="14" customFormat="false" ht="15" hidden="false" customHeight="false" outlineLevel="0" collapsed="false">
      <c r="A14" s="5" t="s">
        <v>266</v>
      </c>
      <c r="B14" s="28" t="n">
        <v>2357080</v>
      </c>
      <c r="C14" s="28" t="n">
        <v>2686200</v>
      </c>
      <c r="D14" s="13" t="n">
        <v>112.367</v>
      </c>
      <c r="E14" s="13" t="n">
        <v>112.8</v>
      </c>
      <c r="F14" s="13" t="n">
        <v>113.963</v>
      </c>
    </row>
    <row r="15" customFormat="false" ht="15" hidden="false" customHeight="false" outlineLevel="0" collapsed="false">
      <c r="A15" s="4" t="s">
        <v>267</v>
      </c>
      <c r="B15" s="27" t="n">
        <v>2498000</v>
      </c>
      <c r="C15" s="27" t="n">
        <v>2921070</v>
      </c>
      <c r="D15" s="10" t="n">
        <v>115.2</v>
      </c>
      <c r="E15" s="10" t="n">
        <v>114.1</v>
      </c>
      <c r="F15" s="10" t="n">
        <v>116.936</v>
      </c>
    </row>
    <row r="16" customFormat="false" ht="15" hidden="false" customHeight="false" outlineLevel="0" collapsed="false">
      <c r="A16" s="5" t="s">
        <v>43</v>
      </c>
      <c r="B16" s="28" t="n">
        <v>2598900</v>
      </c>
      <c r="C16" s="28" t="n">
        <v>3060870</v>
      </c>
      <c r="D16" s="13" t="n">
        <v>113.8</v>
      </c>
      <c r="E16" s="13" t="n">
        <v>113.833</v>
      </c>
      <c r="F16" s="13" t="n">
        <v>117.776</v>
      </c>
    </row>
    <row r="17" customFormat="false" ht="15" hidden="false" customHeight="false" outlineLevel="0" collapsed="false">
      <c r="A17" s="4" t="s">
        <v>44</v>
      </c>
      <c r="B17" s="27" t="n">
        <v>2535750</v>
      </c>
      <c r="C17" s="27" t="n">
        <v>2914390</v>
      </c>
      <c r="D17" s="10" t="n">
        <v>115.867</v>
      </c>
      <c r="E17" s="10" t="n">
        <v>114.7</v>
      </c>
      <c r="F17" s="10" t="n">
        <v>114.932</v>
      </c>
    </row>
    <row r="18" customFormat="false" ht="15" hidden="false" customHeight="false" outlineLevel="0" collapsed="false">
      <c r="A18" s="5" t="s">
        <v>45</v>
      </c>
      <c r="B18" s="28" t="n">
        <v>2562240</v>
      </c>
      <c r="C18" s="28" t="n">
        <v>3053980</v>
      </c>
      <c r="D18" s="13" t="n">
        <v>119.867</v>
      </c>
      <c r="E18" s="13" t="n">
        <v>116.767</v>
      </c>
      <c r="F18" s="13" t="n">
        <v>119.192</v>
      </c>
    </row>
    <row r="19" customFormat="false" ht="15" hidden="false" customHeight="false" outlineLevel="0" collapsed="false">
      <c r="A19" s="4" t="s">
        <v>46</v>
      </c>
      <c r="B19" s="27" t="n">
        <v>2645950</v>
      </c>
      <c r="C19" s="27" t="n">
        <v>3184920</v>
      </c>
      <c r="D19" s="10" t="n">
        <v>119.867</v>
      </c>
      <c r="E19" s="10" t="n">
        <v>113.933</v>
      </c>
      <c r="F19" s="10" t="n">
        <v>120.37</v>
      </c>
    </row>
    <row r="20" customFormat="false" ht="15" hidden="false" customHeight="false" outlineLevel="0" collapsed="false">
      <c r="A20" s="5" t="s">
        <v>47</v>
      </c>
      <c r="B20" s="28" t="n">
        <v>2783730</v>
      </c>
      <c r="C20" s="28" t="n">
        <v>3314670</v>
      </c>
      <c r="D20" s="13" t="n">
        <v>119.8</v>
      </c>
      <c r="E20" s="13" t="n">
        <v>110.1</v>
      </c>
      <c r="F20" s="13" t="n">
        <v>119.073</v>
      </c>
    </row>
    <row r="21" customFormat="false" ht="15" hidden="false" customHeight="false" outlineLevel="0" collapsed="false">
      <c r="A21" s="4" t="s">
        <v>48</v>
      </c>
      <c r="B21" s="27" t="n">
        <v>2728280</v>
      </c>
      <c r="C21" s="27" t="n">
        <v>3243540</v>
      </c>
      <c r="D21" s="10" t="n">
        <v>121.767</v>
      </c>
      <c r="E21" s="10" t="n">
        <v>111.133</v>
      </c>
      <c r="F21" s="10" t="n">
        <v>118.886</v>
      </c>
    </row>
    <row r="22" customFormat="false" ht="15" hidden="false" customHeight="false" outlineLevel="0" collapsed="false">
      <c r="A22" s="5" t="s">
        <v>49</v>
      </c>
      <c r="B22" s="28" t="n">
        <v>2768090</v>
      </c>
      <c r="C22" s="28" t="n">
        <v>3355880</v>
      </c>
      <c r="D22" s="13" t="n">
        <v>124.6</v>
      </c>
      <c r="E22" s="13" t="n">
        <v>110.333</v>
      </c>
      <c r="F22" s="13" t="n">
        <v>121.235</v>
      </c>
    </row>
    <row r="23" customFormat="false" ht="15" hidden="false" customHeight="false" outlineLevel="0" collapsed="false">
      <c r="A23" s="4" t="s">
        <v>50</v>
      </c>
      <c r="B23" s="27" t="n">
        <v>2836390</v>
      </c>
      <c r="C23" s="27" t="n">
        <v>3476630</v>
      </c>
      <c r="D23" s="10" t="n">
        <v>126.267</v>
      </c>
      <c r="E23" s="10" t="n">
        <v>109.8</v>
      </c>
      <c r="F23" s="10" t="n">
        <v>122.573</v>
      </c>
    </row>
    <row r="24" customFormat="false" ht="15" hidden="false" customHeight="false" outlineLevel="0" collapsed="false">
      <c r="A24" s="5" t="s">
        <v>51</v>
      </c>
      <c r="B24" s="28" t="n">
        <v>3036740</v>
      </c>
      <c r="C24" s="28" t="n">
        <v>3695810</v>
      </c>
      <c r="D24" s="13" t="n">
        <v>126.1</v>
      </c>
      <c r="E24" s="13" t="n">
        <v>107.6</v>
      </c>
      <c r="F24" s="13" t="n">
        <v>121.703</v>
      </c>
    </row>
    <row r="25" customFormat="false" ht="15" hidden="false" customHeight="false" outlineLevel="0" collapsed="false">
      <c r="A25" s="4" t="s">
        <v>52</v>
      </c>
      <c r="B25" s="27" t="n">
        <v>2965090</v>
      </c>
      <c r="C25" s="27" t="n">
        <v>3639770</v>
      </c>
      <c r="D25" s="10" t="n">
        <v>128.667</v>
      </c>
      <c r="E25" s="10" t="n">
        <v>110.367</v>
      </c>
      <c r="F25" s="10" t="n">
        <v>122.754</v>
      </c>
    </row>
    <row r="26" customFormat="false" ht="15" hidden="false" customHeight="false" outlineLevel="0" collapsed="false">
      <c r="A26" s="5" t="s">
        <v>53</v>
      </c>
      <c r="B26" s="28" t="n">
        <v>3035760</v>
      </c>
      <c r="C26" s="28" t="n">
        <v>3754120</v>
      </c>
      <c r="D26" s="13" t="n">
        <v>131.033</v>
      </c>
      <c r="E26" s="13" t="n">
        <v>111.467</v>
      </c>
      <c r="F26" s="13" t="n">
        <v>123.663</v>
      </c>
    </row>
    <row r="27" customFormat="false" ht="15" hidden="false" customHeight="false" outlineLevel="0" collapsed="false">
      <c r="A27" s="4" t="s">
        <v>54</v>
      </c>
      <c r="B27" s="27" t="n">
        <v>3079620</v>
      </c>
      <c r="C27" s="27" t="n">
        <v>3875010</v>
      </c>
      <c r="D27" s="10" t="n">
        <v>131</v>
      </c>
      <c r="E27" s="10" t="n">
        <v>111.7</v>
      </c>
      <c r="F27" s="10" t="n">
        <v>125.827</v>
      </c>
    </row>
    <row r="28" customFormat="false" ht="15" hidden="false" customHeight="false" outlineLevel="0" collapsed="false">
      <c r="A28" s="5" t="s">
        <v>55</v>
      </c>
      <c r="B28" s="28" t="n">
        <v>3227730</v>
      </c>
      <c r="C28" s="28" t="n">
        <v>4122770</v>
      </c>
      <c r="D28" s="13" t="n">
        <v>130.6</v>
      </c>
      <c r="E28" s="13" t="n">
        <v>112.933</v>
      </c>
      <c r="F28" s="13" t="n">
        <v>127.73</v>
      </c>
    </row>
    <row r="29" customFormat="false" ht="15" hidden="false" customHeight="false" outlineLevel="0" collapsed="false">
      <c r="A29" s="4" t="s">
        <v>56</v>
      </c>
      <c r="B29" s="27" t="n">
        <v>3146340</v>
      </c>
      <c r="C29" s="27" t="n">
        <v>4008920</v>
      </c>
      <c r="D29" s="10" t="n">
        <v>131.5</v>
      </c>
      <c r="E29" s="10" t="n">
        <v>112.933</v>
      </c>
      <c r="F29" s="10" t="n">
        <v>127.415</v>
      </c>
    </row>
    <row r="30" customFormat="false" ht="15" hidden="false" customHeight="false" outlineLevel="0" collapsed="false">
      <c r="A30" s="5" t="s">
        <v>57</v>
      </c>
      <c r="B30" s="28" t="n">
        <v>3197200</v>
      </c>
      <c r="C30" s="28" t="n">
        <v>4157250</v>
      </c>
      <c r="D30" s="13" t="n">
        <v>134.933</v>
      </c>
      <c r="E30" s="13" t="n">
        <v>114.533</v>
      </c>
      <c r="F30" s="13" t="n">
        <v>130.028</v>
      </c>
    </row>
    <row r="31" customFormat="false" ht="15" hidden="false" customHeight="false" outlineLevel="0" collapsed="false">
      <c r="A31" s="4" t="s">
        <v>58</v>
      </c>
      <c r="B31" s="27" t="n">
        <v>3284990</v>
      </c>
      <c r="C31" s="27" t="n">
        <v>4339190</v>
      </c>
      <c r="D31" s="10" t="n">
        <v>136.967</v>
      </c>
      <c r="E31" s="10" t="n">
        <v>115.9</v>
      </c>
      <c r="F31" s="10" t="n">
        <v>132.091</v>
      </c>
    </row>
    <row r="32" customFormat="false" ht="15" hidden="false" customHeight="false" outlineLevel="0" collapsed="false">
      <c r="A32" s="5" t="s">
        <v>59</v>
      </c>
      <c r="B32" s="28" t="n">
        <v>3516060</v>
      </c>
      <c r="C32" s="28" t="n">
        <v>4584690</v>
      </c>
      <c r="D32" s="13" t="n">
        <v>136.6</v>
      </c>
      <c r="E32" s="13" t="n">
        <v>116.133</v>
      </c>
      <c r="F32" s="13" t="n">
        <v>130.393</v>
      </c>
    </row>
    <row r="33" customFormat="false" ht="15" hidden="false" customHeight="false" outlineLevel="0" collapsed="false">
      <c r="A33" s="4" t="s">
        <v>60</v>
      </c>
      <c r="B33" s="27" t="n">
        <v>3382300</v>
      </c>
      <c r="C33" s="27" t="n">
        <v>4569370</v>
      </c>
      <c r="D33" s="10" t="n">
        <v>137.8</v>
      </c>
      <c r="E33" s="10" t="n">
        <v>118.233</v>
      </c>
      <c r="F33" s="10" t="n">
        <v>135.096</v>
      </c>
    </row>
    <row r="34" customFormat="false" ht="15" hidden="false" customHeight="false" outlineLevel="0" collapsed="false">
      <c r="A34" s="5" t="s">
        <v>61</v>
      </c>
      <c r="B34" s="28" t="n">
        <v>3403640</v>
      </c>
      <c r="C34" s="28" t="n">
        <v>4656020</v>
      </c>
      <c r="D34" s="13" t="n">
        <v>140.133</v>
      </c>
      <c r="E34" s="13" t="n">
        <v>120.3</v>
      </c>
      <c r="F34" s="13" t="n">
        <v>136.795</v>
      </c>
    </row>
    <row r="35" customFormat="false" ht="15" hidden="false" customHeight="false" outlineLevel="0" collapsed="false">
      <c r="A35" s="4" t="s">
        <v>62</v>
      </c>
      <c r="B35" s="27" t="n">
        <v>3489760</v>
      </c>
      <c r="C35" s="27" t="n">
        <v>4873000</v>
      </c>
      <c r="D35" s="10" t="n">
        <v>140.533</v>
      </c>
      <c r="E35" s="10" t="n">
        <v>121.1</v>
      </c>
      <c r="F35" s="10" t="n">
        <v>139.637</v>
      </c>
    </row>
    <row r="36" customFormat="false" ht="15" hidden="false" customHeight="false" outlineLevel="0" collapsed="false">
      <c r="A36" s="5" t="s">
        <v>63</v>
      </c>
      <c r="B36" s="28" t="n">
        <v>3717210</v>
      </c>
      <c r="C36" s="28" t="n">
        <v>4801280</v>
      </c>
      <c r="D36" s="13" t="n">
        <v>139.967</v>
      </c>
      <c r="E36" s="13" t="n">
        <v>119.533</v>
      </c>
      <c r="F36" s="13" t="n">
        <v>129.164</v>
      </c>
    </row>
    <row r="37" customFormat="false" ht="15" hidden="false" customHeight="false" outlineLevel="0" collapsed="false">
      <c r="A37" s="4" t="s">
        <v>64</v>
      </c>
      <c r="B37" s="27" t="n">
        <v>3554640</v>
      </c>
      <c r="C37" s="27" t="n">
        <v>4951380</v>
      </c>
      <c r="D37" s="10" t="n">
        <v>142.033</v>
      </c>
      <c r="E37" s="10" t="n">
        <v>121.4</v>
      </c>
      <c r="F37" s="10" t="n">
        <v>139.293</v>
      </c>
    </row>
    <row r="38" customFormat="false" ht="15" hidden="false" customHeight="false" outlineLevel="0" collapsed="false">
      <c r="A38" s="5" t="s">
        <v>65</v>
      </c>
      <c r="B38" s="28" t="n">
        <v>3549950</v>
      </c>
      <c r="C38" s="28" t="n">
        <v>4868140</v>
      </c>
      <c r="D38" s="13" t="n">
        <v>145</v>
      </c>
      <c r="E38" s="13" t="n">
        <v>121.367</v>
      </c>
      <c r="F38" s="13" t="n">
        <v>137.133</v>
      </c>
    </row>
    <row r="39" customFormat="false" ht="15" hidden="false" customHeight="false" outlineLevel="0" collapsed="false">
      <c r="A39" s="4" t="s">
        <v>66</v>
      </c>
      <c r="B39" s="27" t="n">
        <v>3603380</v>
      </c>
      <c r="C39" s="27" t="n">
        <v>5135340</v>
      </c>
      <c r="D39" s="10" t="n">
        <v>148.733</v>
      </c>
      <c r="E39" s="10" t="n">
        <v>122.433</v>
      </c>
      <c r="F39" s="10" t="n">
        <v>142.515</v>
      </c>
    </row>
    <row r="40" customFormat="false" ht="15" hidden="false" customHeight="false" outlineLevel="0" collapsed="false">
      <c r="A40" s="5" t="s">
        <v>67</v>
      </c>
      <c r="B40" s="28" t="n">
        <v>3826680</v>
      </c>
      <c r="C40" s="28" t="n">
        <v>5148730</v>
      </c>
      <c r="D40" s="13" t="n">
        <v>149.3</v>
      </c>
      <c r="E40" s="13" t="n">
        <v>122</v>
      </c>
      <c r="F40" s="13" t="n">
        <v>134.548</v>
      </c>
    </row>
    <row r="41" customFormat="false" ht="15" hidden="false" customHeight="false" outlineLevel="0" collapsed="false">
      <c r="A41" s="4" t="s">
        <v>68</v>
      </c>
      <c r="B41" s="27" t="n">
        <v>2732310</v>
      </c>
      <c r="C41" s="27" t="n">
        <v>3893940</v>
      </c>
      <c r="D41" s="10" t="n">
        <v>151.367</v>
      </c>
      <c r="E41" s="10" t="n">
        <v>118.667</v>
      </c>
      <c r="F41" s="10" t="n">
        <v>142.515</v>
      </c>
    </row>
    <row r="42" customFormat="false" ht="15" hidden="false" customHeight="false" outlineLevel="0" collapsed="false">
      <c r="A42" s="5" t="s">
        <v>69</v>
      </c>
      <c r="B42" s="28" t="n">
        <v>3342660</v>
      </c>
      <c r="C42" s="28" t="n">
        <v>4728280</v>
      </c>
      <c r="D42" s="13" t="n">
        <v>155</v>
      </c>
      <c r="E42" s="13" t="n">
        <v>121.967</v>
      </c>
      <c r="F42" s="13" t="n">
        <v>141.453</v>
      </c>
    </row>
    <row r="43" customFormat="false" ht="15" hidden="false" customHeight="false" outlineLevel="0" collapsed="false">
      <c r="A43" s="4" t="s">
        <v>70</v>
      </c>
      <c r="B43" s="27" t="n">
        <v>3667340</v>
      </c>
      <c r="C43" s="27" t="n">
        <v>5474170</v>
      </c>
      <c r="D43" s="10" t="n">
        <v>158.2</v>
      </c>
      <c r="E43" s="10" t="n">
        <v>124.7</v>
      </c>
      <c r="F43" s="10" t="n">
        <v>149.268</v>
      </c>
    </row>
    <row r="44" customFormat="false" ht="15" hidden="false" customHeight="false" outlineLevel="0" collapsed="false">
      <c r="A44" s="5" t="s">
        <v>71</v>
      </c>
      <c r="B44" s="28" t="n">
        <v>3952570</v>
      </c>
      <c r="C44" s="28" t="n">
        <v>5757700</v>
      </c>
      <c r="D44" s="13" t="n">
        <v>156.567</v>
      </c>
      <c r="E44" s="13" t="n">
        <v>128.167</v>
      </c>
      <c r="F44" s="13" t="n">
        <v>145.67</v>
      </c>
    </row>
    <row r="45" customFormat="false" ht="15" hidden="false" customHeight="false" outlineLevel="0" collapsed="false">
      <c r="A45" s="4" t="s">
        <v>72</v>
      </c>
      <c r="B45" s="27" t="n">
        <v>3350730</v>
      </c>
      <c r="C45" s="27" t="n">
        <v>5178170</v>
      </c>
      <c r="D45" s="10" t="n">
        <v>159.833</v>
      </c>
      <c r="E45" s="10" t="n">
        <v>132.867</v>
      </c>
      <c r="F45" s="10" t="n">
        <v>154.539</v>
      </c>
    </row>
    <row r="46" customFormat="false" ht="15" hidden="false" customHeight="false" outlineLevel="0" collapsed="false">
      <c r="A46" s="5" t="s">
        <v>73</v>
      </c>
      <c r="B46" s="28" t="n">
        <v>3672440</v>
      </c>
      <c r="C46" s="28" t="n">
        <v>5627310</v>
      </c>
      <c r="D46" s="13" t="n">
        <v>162.867</v>
      </c>
      <c r="E46" s="13" t="n">
        <v>136.2</v>
      </c>
      <c r="F46" s="13" t="n">
        <v>153.231</v>
      </c>
    </row>
    <row r="47" customFormat="false" ht="15" hidden="false" customHeight="false" outlineLevel="0" collapsed="false">
      <c r="A47" s="4" t="s">
        <v>74</v>
      </c>
      <c r="B47" s="27" t="n">
        <v>3870110</v>
      </c>
      <c r="C47" s="27" t="n">
        <v>6268320</v>
      </c>
      <c r="D47" s="10" t="n">
        <v>166.133</v>
      </c>
      <c r="E47" s="10" t="n">
        <v>142.567</v>
      </c>
      <c r="F47" s="10" t="n">
        <v>161.968</v>
      </c>
    </row>
    <row r="48" customFormat="false" ht="15" hidden="false" customHeight="false" outlineLevel="0" collapsed="false">
      <c r="A48" s="5" t="s">
        <v>75</v>
      </c>
      <c r="B48" s="28" t="n">
        <v>4128570</v>
      </c>
      <c r="C48" s="28" t="n">
        <v>6523590</v>
      </c>
      <c r="D48" s="13" t="n">
        <v>166.5</v>
      </c>
      <c r="E48" s="13" t="n">
        <v>146</v>
      </c>
      <c r="F48" s="13" t="n">
        <v>158.011</v>
      </c>
    </row>
    <row r="49" customFormat="false" ht="15" hidden="false" customHeight="false" outlineLevel="0" collapsed="false">
      <c r="A49" s="4" t="s">
        <v>76</v>
      </c>
      <c r="B49" s="27" t="n">
        <v>3802770</v>
      </c>
      <c r="C49" s="27" t="n">
        <v>6499860</v>
      </c>
      <c r="D49" s="10" t="n">
        <v>171.467</v>
      </c>
      <c r="E49" s="10" t="n">
        <v>154.233</v>
      </c>
      <c r="F49" s="10" t="n">
        <v>170.924</v>
      </c>
    </row>
    <row r="50" customFormat="false" ht="15" hidden="false" customHeight="false" outlineLevel="0" collapsed="false">
      <c r="A50" s="5" t="s">
        <v>77</v>
      </c>
      <c r="B50" s="28" t="n">
        <v>3891250</v>
      </c>
      <c r="C50" s="28" t="n">
        <v>6458020</v>
      </c>
      <c r="D50" s="13" t="n">
        <v>174.333</v>
      </c>
      <c r="E50" s="13" t="n">
        <v>153.033</v>
      </c>
      <c r="F50" s="13" t="n">
        <v>165.963</v>
      </c>
    </row>
    <row r="51" customFormat="false" ht="15" hidden="false" customHeight="false" outlineLevel="0" collapsed="false">
      <c r="A51" s="4" t="s">
        <v>78</v>
      </c>
      <c r="B51" s="27" t="n">
        <v>4057580</v>
      </c>
      <c r="C51" s="27" t="n">
        <v>6827510</v>
      </c>
      <c r="D51" s="10" t="n">
        <v>176.3</v>
      </c>
      <c r="E51" s="10" t="n">
        <v>151.967</v>
      </c>
      <c r="F51" s="10" t="n">
        <v>168.266</v>
      </c>
    </row>
    <row r="52" customFormat="false" ht="15" hidden="false" customHeight="false" outlineLevel="0" collapsed="false">
      <c r="A52" s="5" t="s">
        <v>79</v>
      </c>
      <c r="B52" s="28" t="n">
        <v>4413320</v>
      </c>
      <c r="C52" s="28" t="n">
        <v>7105080</v>
      </c>
      <c r="D52" s="13" t="n">
        <v>176.833</v>
      </c>
      <c r="E52" s="13" t="n">
        <v>150.867</v>
      </c>
      <c r="F52" s="13" t="n">
        <v>160.992</v>
      </c>
    </row>
    <row r="53" customFormat="false" ht="15" hidden="false" customHeight="false" outlineLevel="0" collapsed="false">
      <c r="A53" s="4" t="s">
        <v>80</v>
      </c>
      <c r="B53" s="27" t="n">
        <v>4170110</v>
      </c>
      <c r="C53" s="27" t="n">
        <v>7211630</v>
      </c>
      <c r="D53" s="10" t="n">
        <v>179.4</v>
      </c>
      <c r="E53" s="10" t="n">
        <v>149.8</v>
      </c>
      <c r="F53" s="10" t="n">
        <v>172.936</v>
      </c>
    </row>
    <row r="54" customFormat="false" ht="15" hidden="false" customHeight="false" outlineLevel="0" collapsed="false">
      <c r="A54" s="5" t="s">
        <v>81</v>
      </c>
      <c r="B54" s="28" t="n">
        <v>4254810</v>
      </c>
      <c r="C54" s="28" t="n">
        <v>7240700</v>
      </c>
      <c r="D54" s="13" t="n">
        <v>185.533</v>
      </c>
      <c r="E54" s="13" t="n">
        <v>152.133</v>
      </c>
      <c r="F54" s="13" t="n">
        <v>170.177</v>
      </c>
    </row>
    <row r="55" customFormat="false" ht="15" hidden="false" customHeight="false" outlineLevel="0" collapsed="false">
      <c r="A55" s="4" t="s">
        <v>82</v>
      </c>
      <c r="B55" s="27" t="n">
        <v>4443640</v>
      </c>
      <c r="C55" s="27" t="n">
        <v>7709670</v>
      </c>
      <c r="D55" s="10" t="n">
        <v>185.767</v>
      </c>
      <c r="E55" s="10" t="n">
        <v>152.467</v>
      </c>
      <c r="F55" s="10" t="n">
        <v>173.499</v>
      </c>
    </row>
    <row r="56" customFormat="false" ht="15" hidden="false" customHeight="false" outlineLevel="0" collapsed="false">
      <c r="A56" s="5" t="s">
        <v>83</v>
      </c>
      <c r="B56" s="28" t="n">
        <v>4782030</v>
      </c>
      <c r="C56" s="28" t="n">
        <v>7960970</v>
      </c>
      <c r="D56" s="13" t="n">
        <v>185.7</v>
      </c>
      <c r="E56" s="13" t="n">
        <v>151.267</v>
      </c>
      <c r="F56" s="13" t="n">
        <v>166.477</v>
      </c>
    </row>
    <row r="57" customFormat="false" ht="15" hidden="false" customHeight="false" outlineLevel="0" collapsed="false">
      <c r="A57" s="4" t="s">
        <v>84</v>
      </c>
      <c r="B57" s="27" t="n">
        <v>4441660</v>
      </c>
      <c r="C57" s="27" t="n">
        <v>7907890</v>
      </c>
      <c r="D57" s="10" t="n">
        <v>188.2</v>
      </c>
      <c r="E57" s="10" t="n">
        <v>153.467</v>
      </c>
      <c r="F57" s="10" t="n">
        <v>178.039</v>
      </c>
    </row>
    <row r="58" customFormat="false" ht="15" hidden="false" customHeight="false" outlineLevel="0" collapsed="false">
      <c r="A58" s="5" t="s">
        <v>85</v>
      </c>
      <c r="B58" s="28" t="n">
        <v>4493590</v>
      </c>
      <c r="C58" s="28" t="n">
        <v>7840350</v>
      </c>
      <c r="D58" s="13" t="n">
        <v>193.4</v>
      </c>
      <c r="E58" s="13" t="n">
        <v>154.8</v>
      </c>
      <c r="F58" s="13" t="n">
        <v>174.479</v>
      </c>
    </row>
    <row r="59" customFormat="false" ht="15" hidden="false" customHeight="false" outlineLevel="0" collapsed="false">
      <c r="A59" s="4" t="s">
        <v>86</v>
      </c>
      <c r="B59" s="27" t="n">
        <v>4726540</v>
      </c>
      <c r="C59" s="27" t="n">
        <v>8502370</v>
      </c>
      <c r="D59" s="10" t="n">
        <v>196.233</v>
      </c>
      <c r="E59" s="10" t="n">
        <v>156.267</v>
      </c>
      <c r="F59" s="10" t="n">
        <v>179.886</v>
      </c>
    </row>
    <row r="60" customFormat="false" ht="15" hidden="false" customHeight="false" outlineLevel="0" collapsed="false">
      <c r="A60" s="5" t="s">
        <v>87</v>
      </c>
      <c r="B60" s="28" t="n">
        <v>5135160</v>
      </c>
      <c r="C60" s="28" t="n">
        <v>8817530</v>
      </c>
      <c r="D60" s="13" t="n">
        <v>192.633</v>
      </c>
      <c r="E60" s="13" t="n">
        <v>154.9</v>
      </c>
      <c r="F60" s="13" t="n">
        <v>171.709</v>
      </c>
    </row>
    <row r="61" customFormat="false" ht="15" hidden="false" customHeight="false" outlineLevel="0" collapsed="false">
      <c r="A61" s="4" t="s">
        <v>88</v>
      </c>
      <c r="B61" s="27" t="n">
        <v>4788620</v>
      </c>
      <c r="C61" s="27" t="n">
        <v>8605360</v>
      </c>
      <c r="D61" s="10" t="n">
        <v>193.267</v>
      </c>
      <c r="E61" s="10" t="n">
        <v>153.867</v>
      </c>
      <c r="F61" s="10" t="n">
        <v>179.704</v>
      </c>
    </row>
    <row r="62" customFormat="false" ht="15" hidden="false" customHeight="false" outlineLevel="0" collapsed="false">
      <c r="A62" s="5" t="s">
        <v>89</v>
      </c>
      <c r="B62" s="28" t="n">
        <v>4863340</v>
      </c>
      <c r="C62" s="28" t="n">
        <v>8525070</v>
      </c>
      <c r="D62" s="13" t="n">
        <v>196.7</v>
      </c>
      <c r="E62" s="13" t="n">
        <v>154.867</v>
      </c>
      <c r="F62" s="13" t="n">
        <v>175.292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2026-10-21T08:03:27Z</dcterms:created>
  <dc:creator>openpyxl</dc:creator>
  <dc:description/>
  <dc:language>en-US</dc:language>
  <cp:lastModifiedBy/>
  <dcterms:modified xsi:type="dcterms:W3CDTF">2026-10-21T08:03:27Z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