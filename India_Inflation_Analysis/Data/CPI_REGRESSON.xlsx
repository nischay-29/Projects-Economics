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nischay/Desktop/"/>
    </mc:Choice>
  </mc:AlternateContent>
  <xr:revisionPtr revIDLastSave="0" documentId="13_ncr:1_{2C3E80FC-7106-D74F-9A05-02E14BA0C000}" xr6:coauthVersionLast="47" xr6:coauthVersionMax="47" xr10:uidLastSave="{00000000-0000-0000-0000-000000000000}"/>
  <bookViews>
    <workbookView xWindow="0" yWindow="600" windowWidth="38400" windowHeight="18640" tabRatio="500" activeTab="3" xr2:uid="{00000000-000D-0000-FFFF-FFFF00000000}"/>
  </bookViews>
  <sheets>
    <sheet name="Main" sheetId="1" r:id="rId1"/>
    <sheet name="cpi quarterly" sheetId="2" r:id="rId2"/>
    <sheet name="quarterly data" sheetId="3" r:id="rId3"/>
    <sheet name="Regression 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59" i="3"/>
  <c r="E59" i="3" s="1"/>
  <c r="D58" i="3"/>
  <c r="E58" i="3" s="1"/>
  <c r="D57" i="3"/>
  <c r="E57" i="3" s="1"/>
  <c r="D56" i="3"/>
  <c r="E56" i="3" s="1"/>
  <c r="E55" i="3"/>
  <c r="D55" i="3"/>
  <c r="D54" i="3"/>
  <c r="E54" i="3" s="1"/>
  <c r="D53" i="3"/>
  <c r="E53" i="3" s="1"/>
  <c r="D52" i="3"/>
  <c r="E52" i="3" s="1"/>
  <c r="E51" i="3"/>
  <c r="D51" i="3"/>
  <c r="D50" i="3"/>
  <c r="E50" i="3" s="1"/>
  <c r="D49" i="3"/>
  <c r="E49" i="3" s="1"/>
  <c r="D48" i="3"/>
  <c r="E48" i="3" s="1"/>
  <c r="E47" i="3"/>
  <c r="D47" i="3"/>
  <c r="D46" i="3"/>
  <c r="E46" i="3" s="1"/>
  <c r="D45" i="3"/>
  <c r="E45" i="3" s="1"/>
  <c r="D44" i="3"/>
  <c r="E44" i="3" s="1"/>
  <c r="E43" i="3"/>
  <c r="D43" i="3"/>
  <c r="D42" i="3"/>
  <c r="E42" i="3" s="1"/>
  <c r="D41" i="3"/>
  <c r="E41" i="3" s="1"/>
  <c r="D40" i="3"/>
  <c r="E40" i="3" s="1"/>
  <c r="E39" i="3"/>
  <c r="D39" i="3"/>
  <c r="D38" i="3"/>
  <c r="E38" i="3" s="1"/>
  <c r="D37" i="3"/>
  <c r="E37" i="3" s="1"/>
  <c r="D36" i="3"/>
  <c r="E36" i="3" s="1"/>
  <c r="E35" i="3"/>
  <c r="D35" i="3"/>
  <c r="D34" i="3"/>
  <c r="E34" i="3" s="1"/>
  <c r="D33" i="3"/>
  <c r="E33" i="3" s="1"/>
  <c r="D32" i="3"/>
  <c r="E32" i="3" s="1"/>
  <c r="E31" i="3"/>
  <c r="D31" i="3"/>
  <c r="D30" i="3"/>
  <c r="E30" i="3" s="1"/>
  <c r="D29" i="3"/>
  <c r="E29" i="3" s="1"/>
  <c r="D28" i="3"/>
  <c r="E28" i="3" s="1"/>
  <c r="E27" i="3"/>
  <c r="D27" i="3"/>
  <c r="D26" i="3"/>
  <c r="E26" i="3" s="1"/>
  <c r="D25" i="3"/>
  <c r="E25" i="3" s="1"/>
  <c r="D24" i="3"/>
  <c r="E24" i="3" s="1"/>
  <c r="E23" i="3"/>
  <c r="D23" i="3"/>
  <c r="D22" i="3"/>
  <c r="E22" i="3" s="1"/>
  <c r="D21" i="3"/>
  <c r="E21" i="3" s="1"/>
  <c r="D20" i="3"/>
  <c r="E20" i="3" s="1"/>
  <c r="E19" i="3"/>
  <c r="D19" i="3"/>
  <c r="D18" i="3"/>
  <c r="E18" i="3" s="1"/>
  <c r="D17" i="3"/>
  <c r="E17" i="3" s="1"/>
  <c r="D16" i="3"/>
  <c r="E16" i="3" s="1"/>
  <c r="E15" i="3"/>
  <c r="D15" i="3"/>
  <c r="D14" i="3"/>
  <c r="E14" i="3" s="1"/>
  <c r="D13" i="3"/>
  <c r="E13" i="3" s="1"/>
  <c r="D12" i="3"/>
  <c r="E12" i="3" s="1"/>
  <c r="E11" i="3"/>
  <c r="D11" i="3"/>
  <c r="D10" i="3"/>
  <c r="E10" i="3" s="1"/>
  <c r="D9" i="3"/>
  <c r="E9" i="3" s="1"/>
  <c r="D8" i="3"/>
  <c r="E8" i="3" s="1"/>
  <c r="E7" i="3"/>
  <c r="D7" i="3"/>
  <c r="D6" i="3"/>
  <c r="E6" i="3" s="1"/>
  <c r="D5" i="3"/>
  <c r="D4" i="3"/>
  <c r="D3" i="3"/>
  <c r="D2" i="3"/>
  <c r="M157" i="1"/>
  <c r="J157" i="1"/>
  <c r="M156" i="1"/>
  <c r="J156" i="1"/>
  <c r="M155" i="1"/>
  <c r="J155" i="1"/>
  <c r="M154" i="1"/>
  <c r="J154" i="1"/>
  <c r="M153" i="1"/>
  <c r="J153" i="1"/>
  <c r="M152" i="1"/>
  <c r="J152" i="1"/>
  <c r="M151" i="1"/>
  <c r="J151" i="1"/>
  <c r="M150" i="1"/>
  <c r="J150" i="1"/>
  <c r="M149" i="1"/>
  <c r="J149" i="1"/>
  <c r="M148" i="1"/>
  <c r="J148" i="1"/>
  <c r="M147" i="1"/>
  <c r="J147" i="1"/>
  <c r="M146" i="1"/>
  <c r="J146" i="1"/>
  <c r="M145" i="1"/>
  <c r="J145" i="1"/>
  <c r="M144" i="1"/>
  <c r="J144" i="1"/>
  <c r="M143" i="1"/>
  <c r="J143" i="1"/>
  <c r="M142" i="1"/>
  <c r="J142" i="1"/>
  <c r="M141" i="1"/>
  <c r="J141" i="1"/>
  <c r="M140" i="1"/>
  <c r="J140" i="1"/>
  <c r="M139" i="1"/>
  <c r="J139" i="1"/>
  <c r="M138" i="1"/>
  <c r="J138" i="1"/>
  <c r="M137" i="1"/>
  <c r="J137" i="1"/>
  <c r="M136" i="1"/>
  <c r="J136" i="1"/>
  <c r="M135" i="1"/>
  <c r="J135" i="1"/>
  <c r="M134" i="1"/>
  <c r="J134" i="1"/>
  <c r="M133" i="1"/>
  <c r="J133" i="1"/>
  <c r="M132" i="1"/>
  <c r="J132" i="1"/>
  <c r="M131" i="1"/>
  <c r="J131" i="1"/>
  <c r="M130" i="1"/>
  <c r="J130" i="1"/>
  <c r="M129" i="1"/>
  <c r="J129" i="1"/>
  <c r="M128" i="1"/>
  <c r="J128" i="1"/>
  <c r="M127" i="1"/>
  <c r="J127" i="1"/>
  <c r="M126" i="1"/>
  <c r="J126" i="1"/>
  <c r="M125" i="1"/>
  <c r="J125" i="1"/>
  <c r="M124" i="1"/>
  <c r="J124" i="1"/>
  <c r="M123" i="1"/>
  <c r="J123" i="1"/>
  <c r="M122" i="1"/>
  <c r="J122" i="1"/>
  <c r="M121" i="1"/>
  <c r="J121" i="1"/>
  <c r="M120" i="1"/>
  <c r="J120" i="1"/>
  <c r="M119" i="1"/>
  <c r="J119" i="1"/>
  <c r="M118" i="1"/>
  <c r="J118" i="1"/>
  <c r="M117" i="1"/>
  <c r="J117" i="1"/>
  <c r="M116" i="1"/>
  <c r="J116" i="1"/>
  <c r="M115" i="1"/>
  <c r="J115" i="1"/>
  <c r="M114" i="1"/>
  <c r="J114" i="1"/>
  <c r="M113" i="1"/>
  <c r="J113" i="1"/>
  <c r="M112" i="1"/>
  <c r="J112" i="1"/>
  <c r="M111" i="1"/>
  <c r="J111" i="1"/>
  <c r="M110" i="1"/>
  <c r="J110" i="1"/>
  <c r="M109" i="1"/>
  <c r="J109" i="1"/>
  <c r="M108" i="1"/>
  <c r="J108" i="1"/>
  <c r="M107" i="1"/>
  <c r="J107" i="1"/>
  <c r="M106" i="1"/>
  <c r="J106" i="1"/>
  <c r="M105" i="1"/>
  <c r="J105" i="1"/>
  <c r="M104" i="1"/>
  <c r="J104" i="1"/>
  <c r="M103" i="1"/>
  <c r="J103" i="1"/>
  <c r="M102" i="1"/>
  <c r="J102" i="1"/>
  <c r="M101" i="1"/>
  <c r="J101" i="1"/>
  <c r="M100" i="1"/>
  <c r="J100" i="1"/>
  <c r="M99" i="1"/>
  <c r="J99" i="1"/>
  <c r="M98" i="1"/>
  <c r="J98" i="1"/>
  <c r="M97" i="1"/>
  <c r="J97" i="1"/>
  <c r="M96" i="1"/>
  <c r="J96" i="1"/>
  <c r="M95" i="1"/>
  <c r="J95" i="1"/>
  <c r="M94" i="1"/>
  <c r="J94" i="1"/>
  <c r="M93" i="1"/>
  <c r="J93" i="1"/>
  <c r="M92" i="1"/>
  <c r="J92" i="1"/>
  <c r="M91" i="1"/>
  <c r="J91" i="1"/>
  <c r="M90" i="1"/>
  <c r="J90" i="1"/>
  <c r="M89" i="1"/>
  <c r="J89" i="1"/>
  <c r="M88" i="1"/>
  <c r="J88" i="1"/>
  <c r="M87" i="1"/>
  <c r="J87" i="1"/>
  <c r="M86" i="1"/>
  <c r="J86" i="1"/>
  <c r="M85" i="1"/>
  <c r="J85" i="1"/>
  <c r="M84" i="1"/>
  <c r="J84" i="1"/>
  <c r="M83" i="1"/>
  <c r="J83" i="1"/>
  <c r="M82" i="1"/>
  <c r="J82" i="1"/>
  <c r="M81" i="1"/>
  <c r="J81" i="1"/>
  <c r="M80" i="1"/>
  <c r="J80" i="1"/>
  <c r="M79" i="1"/>
  <c r="J79" i="1"/>
  <c r="M78" i="1"/>
  <c r="J78" i="1"/>
  <c r="M77" i="1"/>
  <c r="J77" i="1"/>
  <c r="M76" i="1"/>
  <c r="J76" i="1"/>
  <c r="M75" i="1"/>
  <c r="J75" i="1"/>
  <c r="M74" i="1"/>
  <c r="J74" i="1"/>
  <c r="M73" i="1"/>
  <c r="J73" i="1"/>
  <c r="M72" i="1"/>
  <c r="J72" i="1"/>
  <c r="M71" i="1"/>
  <c r="J71" i="1"/>
  <c r="M70" i="1"/>
  <c r="J70" i="1"/>
  <c r="M69" i="1"/>
  <c r="J69" i="1"/>
  <c r="M68" i="1"/>
  <c r="J68" i="1"/>
  <c r="M67" i="1"/>
  <c r="J67" i="1"/>
  <c r="M66" i="1"/>
  <c r="J66" i="1"/>
  <c r="M65" i="1"/>
  <c r="J65" i="1"/>
  <c r="M64" i="1"/>
  <c r="J64" i="1"/>
  <c r="M63" i="1"/>
  <c r="J63" i="1"/>
  <c r="M62" i="1"/>
  <c r="J62" i="1"/>
  <c r="M61" i="1"/>
  <c r="J61" i="1"/>
  <c r="M60" i="1"/>
  <c r="J60" i="1"/>
  <c r="M59" i="1"/>
  <c r="J59" i="1"/>
  <c r="M58" i="1"/>
  <c r="J58" i="1"/>
  <c r="M57" i="1"/>
  <c r="J57" i="1"/>
  <c r="M56" i="1"/>
  <c r="J56" i="1"/>
  <c r="M55" i="1"/>
  <c r="J55" i="1"/>
  <c r="M54" i="1"/>
  <c r="J54" i="1"/>
  <c r="M53" i="1"/>
  <c r="J53" i="1"/>
  <c r="M52" i="1"/>
  <c r="J52" i="1"/>
  <c r="M51" i="1"/>
  <c r="J51" i="1"/>
  <c r="M50" i="1"/>
  <c r="J50" i="1"/>
  <c r="M49" i="1"/>
  <c r="J49" i="1"/>
  <c r="M48" i="1"/>
  <c r="J48" i="1"/>
  <c r="M47" i="1"/>
  <c r="J47" i="1"/>
  <c r="M46" i="1"/>
  <c r="J46" i="1"/>
  <c r="M45" i="1"/>
  <c r="J45" i="1"/>
  <c r="M44" i="1"/>
  <c r="J44" i="1"/>
  <c r="M43" i="1"/>
  <c r="J43" i="1"/>
  <c r="M42" i="1"/>
  <c r="J42" i="1"/>
  <c r="M41" i="1"/>
  <c r="J41" i="1"/>
  <c r="M40" i="1"/>
  <c r="J40" i="1"/>
  <c r="M39" i="1"/>
  <c r="J39" i="1"/>
  <c r="M38" i="1"/>
  <c r="J38" i="1"/>
  <c r="M37" i="1"/>
  <c r="J37" i="1"/>
  <c r="M36" i="1"/>
  <c r="J36" i="1"/>
  <c r="M35" i="1"/>
  <c r="J35" i="1"/>
  <c r="M34" i="1"/>
  <c r="J34" i="1"/>
  <c r="M33" i="1"/>
  <c r="J33" i="1"/>
  <c r="M32" i="1"/>
  <c r="J32" i="1"/>
  <c r="M31" i="1"/>
  <c r="J31" i="1"/>
  <c r="M30" i="1"/>
  <c r="J30" i="1"/>
  <c r="M29" i="1"/>
  <c r="J29" i="1"/>
  <c r="M28" i="1"/>
  <c r="J28" i="1"/>
  <c r="M27" i="1"/>
  <c r="J27" i="1"/>
  <c r="M26" i="1"/>
  <c r="J26" i="1"/>
  <c r="M25" i="1"/>
  <c r="J25" i="1"/>
  <c r="M24" i="1"/>
  <c r="J24" i="1"/>
  <c r="M23" i="1"/>
  <c r="J23" i="1"/>
  <c r="M22" i="1"/>
  <c r="J22" i="1"/>
  <c r="M21" i="1"/>
  <c r="J21" i="1"/>
  <c r="M20" i="1"/>
  <c r="J20" i="1"/>
  <c r="M19" i="1"/>
  <c r="J19" i="1"/>
  <c r="M18" i="1"/>
  <c r="J18" i="1"/>
  <c r="M17" i="1"/>
  <c r="J17" i="1"/>
  <c r="M16" i="1"/>
  <c r="J16" i="1"/>
  <c r="M15" i="1"/>
  <c r="J15" i="1"/>
  <c r="M14" i="1"/>
  <c r="J14" i="1"/>
  <c r="M13" i="1"/>
  <c r="J13" i="1"/>
  <c r="M12" i="1"/>
  <c r="J12" i="1"/>
  <c r="M11" i="1"/>
  <c r="J11" i="1"/>
  <c r="M10" i="1"/>
  <c r="J10" i="1"/>
  <c r="M9" i="1"/>
  <c r="J9" i="1"/>
  <c r="M8" i="1"/>
  <c r="L8" i="1"/>
  <c r="J8" i="1"/>
  <c r="M7" i="1"/>
  <c r="J7" i="1"/>
  <c r="M6" i="1"/>
  <c r="J6" i="1"/>
  <c r="M5" i="1"/>
  <c r="J5" i="1"/>
  <c r="M4" i="1"/>
  <c r="J4" i="1"/>
  <c r="M3" i="1"/>
  <c r="J3" i="1"/>
  <c r="M2" i="1"/>
  <c r="D3" i="2" s="1"/>
  <c r="L2" i="1"/>
  <c r="J2" i="1"/>
  <c r="B4" i="2" l="1"/>
  <c r="B7" i="2"/>
  <c r="B9" i="2"/>
  <c r="B11" i="2"/>
  <c r="C11" i="2" s="1"/>
  <c r="B13" i="2"/>
  <c r="C13" i="2" s="1"/>
  <c r="B15" i="2"/>
  <c r="C15" i="2" s="1"/>
  <c r="B17" i="2"/>
  <c r="B19" i="2"/>
  <c r="C19" i="2" s="1"/>
  <c r="B21" i="2"/>
  <c r="C21" i="2" s="1"/>
  <c r="B23" i="2"/>
  <c r="B25" i="2"/>
  <c r="C25" i="2" s="1"/>
  <c r="B27" i="2"/>
  <c r="C27" i="2" s="1"/>
  <c r="B29" i="2"/>
  <c r="C29" i="2" s="1"/>
  <c r="B31" i="2"/>
  <c r="B33" i="2"/>
  <c r="B35" i="2"/>
  <c r="C35" i="2" s="1"/>
  <c r="B37" i="2"/>
  <c r="C37" i="2" s="1"/>
  <c r="B39" i="2"/>
  <c r="B41" i="2"/>
  <c r="C41" i="2" s="1"/>
  <c r="B43" i="2"/>
  <c r="C43" i="2" s="1"/>
  <c r="B45" i="2"/>
  <c r="C45" i="2" s="1"/>
  <c r="B47" i="2"/>
  <c r="B49" i="2"/>
  <c r="B51" i="2"/>
  <c r="C51" i="2" s="1"/>
  <c r="B53" i="2"/>
  <c r="C53" i="2" s="1"/>
  <c r="B55" i="2"/>
  <c r="B57" i="2"/>
  <c r="C57" i="2" s="1"/>
  <c r="B59" i="2"/>
  <c r="C59" i="2" s="1"/>
  <c r="D4" i="2"/>
  <c r="B5" i="2"/>
  <c r="E7" i="2"/>
  <c r="E9" i="2"/>
  <c r="E11" i="2"/>
  <c r="E15" i="2"/>
  <c r="E17" i="2"/>
  <c r="E19" i="2"/>
  <c r="E21" i="2"/>
  <c r="E27" i="2"/>
  <c r="E31" i="2"/>
  <c r="E33" i="2"/>
  <c r="E35" i="2"/>
  <c r="E37" i="2"/>
  <c r="E43" i="2"/>
  <c r="E47" i="2"/>
  <c r="E49" i="2"/>
  <c r="E51" i="2"/>
  <c r="E53" i="2"/>
  <c r="E59" i="2"/>
  <c r="D5" i="2"/>
  <c r="B2" i="2"/>
  <c r="B6" i="2"/>
  <c r="C6" i="2" s="1"/>
  <c r="B8" i="2"/>
  <c r="C8" i="2" s="1"/>
  <c r="B10" i="2"/>
  <c r="C10" i="2" s="1"/>
  <c r="B12" i="2"/>
  <c r="B14" i="2"/>
  <c r="B16" i="2"/>
  <c r="C16" i="2" s="1"/>
  <c r="B18" i="2"/>
  <c r="B20" i="2"/>
  <c r="C20" i="2" s="1"/>
  <c r="B22" i="2"/>
  <c r="C22" i="2" s="1"/>
  <c r="B24" i="2"/>
  <c r="C24" i="2" s="1"/>
  <c r="B26" i="2"/>
  <c r="C26" i="2" s="1"/>
  <c r="B28" i="2"/>
  <c r="B30" i="2"/>
  <c r="B32" i="2"/>
  <c r="C32" i="2" s="1"/>
  <c r="B34" i="2"/>
  <c r="B36" i="2"/>
  <c r="C36" i="2" s="1"/>
  <c r="B38" i="2"/>
  <c r="C38" i="2" s="1"/>
  <c r="B40" i="2"/>
  <c r="C40" i="2" s="1"/>
  <c r="B42" i="2"/>
  <c r="C42" i="2" s="1"/>
  <c r="B44" i="2"/>
  <c r="B46" i="2"/>
  <c r="B48" i="2"/>
  <c r="C48" i="2" s="1"/>
  <c r="B50" i="2"/>
  <c r="B52" i="2"/>
  <c r="C52" i="2" s="1"/>
  <c r="B54" i="2"/>
  <c r="C54" i="2" s="1"/>
  <c r="B56" i="2"/>
  <c r="C56" i="2" s="1"/>
  <c r="B58" i="2"/>
  <c r="C58" i="2" s="1"/>
  <c r="D2" i="2"/>
  <c r="B3" i="2"/>
  <c r="E10" i="2"/>
  <c r="E12" i="2"/>
  <c r="E14" i="2"/>
  <c r="E24" i="2"/>
  <c r="E26" i="2"/>
  <c r="E28" i="2"/>
  <c r="E30" i="2"/>
  <c r="E36" i="2"/>
  <c r="E40" i="2"/>
  <c r="E42" i="2"/>
  <c r="E44" i="2"/>
  <c r="E46" i="2"/>
  <c r="E52" i="2"/>
  <c r="E56" i="2"/>
  <c r="E58" i="2"/>
  <c r="E18" i="2" l="1"/>
  <c r="C30" i="2"/>
  <c r="E25" i="2"/>
  <c r="E50" i="2"/>
  <c r="E34" i="2"/>
  <c r="C46" i="2"/>
  <c r="C14" i="2"/>
  <c r="E57" i="2"/>
  <c r="E41" i="2"/>
  <c r="E48" i="2"/>
  <c r="E32" i="2"/>
  <c r="E16" i="2"/>
  <c r="C44" i="2"/>
  <c r="C28" i="2"/>
  <c r="C12" i="2"/>
  <c r="E55" i="2"/>
  <c r="E39" i="2"/>
  <c r="E23" i="2"/>
  <c r="C49" i="2"/>
  <c r="C33" i="2"/>
  <c r="C17" i="2"/>
  <c r="C47" i="2"/>
  <c r="C31" i="2"/>
  <c r="E8" i="2"/>
  <c r="C9" i="2"/>
  <c r="E54" i="2"/>
  <c r="E38" i="2"/>
  <c r="E22" i="2"/>
  <c r="E6" i="2"/>
  <c r="C50" i="2"/>
  <c r="C34" i="2"/>
  <c r="C18" i="2"/>
  <c r="E45" i="2"/>
  <c r="E29" i="2"/>
  <c r="E13" i="2"/>
  <c r="C55" i="2"/>
  <c r="C39" i="2"/>
  <c r="C23" i="2"/>
  <c r="C7" i="2"/>
  <c r="E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" authorId="0" shapeId="0" xr:uid="{00000000-0006-0000-0000-000001000000}">
      <text>
        <r>
          <rPr>
            <sz val="10"/>
            <rFont val="Arial"/>
            <family val="2"/>
          </rPr>
          <t>Helper column: maps each month to its India fiscal-year quarter label (Apr-Jun=Q1, Jul-Sep=Q2, Oct-Dec=Q3, Jan-Mar=Q4), matching the Period format used in the "cpi quarterly" and "quarterly data" sheets.</t>
        </r>
      </text>
    </comment>
  </commentList>
</comments>
</file>

<file path=xl/sharedStrings.xml><?xml version="1.0" encoding="utf-8"?>
<sst xmlns="http://schemas.openxmlformats.org/spreadsheetml/2006/main" count="842" uniqueCount="100">
  <si>
    <t>baseyear</t>
  </si>
  <si>
    <t>year</t>
  </si>
  <si>
    <t>month_code</t>
  </si>
  <si>
    <t>month</t>
  </si>
  <si>
    <t>state</t>
  </si>
  <si>
    <t>index</t>
  </si>
  <si>
    <t>inflation</t>
  </si>
  <si>
    <t>status</t>
  </si>
  <si>
    <t>WPI INDEX</t>
  </si>
  <si>
    <t>WPI INFLATION</t>
  </si>
  <si>
    <t>CPI Quarterly Inflation</t>
  </si>
  <si>
    <t>Fiscal Quarter</t>
  </si>
  <si>
    <t>2012</t>
  </si>
  <si>
    <t>December</t>
  </si>
  <si>
    <t>All India</t>
  </si>
  <si>
    <t>F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</si>
  <si>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</si>
  <si>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</si>
  <si>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</si>
  <si>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</si>
  <si>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</si>
  <si>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</si>
  <si>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</si>
  <si>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</si>
  <si>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</si>
  <si>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</si>
  <si>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</si>
  <si>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F*</t>
  </si>
  <si>
    <t>Period</t>
  </si>
  <si>
    <t>CPI Quarterly Index</t>
  </si>
  <si>
    <t>CPI Inflation YoY</t>
  </si>
  <si>
    <t>WPI Quarterly Index</t>
  </si>
  <si>
    <t>WPI Inflation YoY</t>
  </si>
  <si>
    <t>Notes</t>
  </si>
  <si>
    <t>2011-12 Q1</t>
  </si>
  <si>
    <t>Quarterly Index = simple average of the 3 monthly index values in that India fiscal-year quarter (Apr-Jun=Q1 ... Jan-Mar=Q4), via Main!Fiscal Quarter helper column.</t>
  </si>
  <si>
    <t>2011-12 Q2</t>
  </si>
  <si>
    <t>YoY Inflation = (This quarter Index / Same quarter, prior fiscal year Index) - 1, i.e. compared to the row 4 above.</t>
  </si>
  <si>
    <t>2011-12 Q3</t>
  </si>
  <si>
    <t>Blank cells mean the underlying monthly CPI/WPI index data (Main sheet) does not cover all 3 months of that quarter.</t>
  </si>
  <si>
    <t>2011-12 Q4</t>
  </si>
  <si>
    <t>2012-13 Q1</t>
  </si>
  <si>
    <t>2012-13 Q2</t>
  </si>
  <si>
    <t>2012-13 Q3</t>
  </si>
  <si>
    <t>2012-13 Q4</t>
  </si>
  <si>
    <t>2013-14 Q1</t>
  </si>
  <si>
    <t>2013-14 Q2</t>
  </si>
  <si>
    <t>2013-14 Q3</t>
  </si>
  <si>
    <t>2013-14 Q4</t>
  </si>
  <si>
    <t>2014-15 Q1</t>
  </si>
  <si>
    <t>2014-15 Q2</t>
  </si>
  <si>
    <t>2014-15 Q3</t>
  </si>
  <si>
    <t>2014-15 Q4</t>
  </si>
  <si>
    <t>2015-16 Q1</t>
  </si>
  <si>
    <t>2015-16 Q2</t>
  </si>
  <si>
    <t>2015-16 Q3</t>
  </si>
  <si>
    <t>2015-16 Q4</t>
  </si>
  <si>
    <t>2016-17 Q1</t>
  </si>
  <si>
    <t>2016-17 Q2</t>
  </si>
  <si>
    <t>2016-17 Q3</t>
  </si>
  <si>
    <t>2016-17 Q4</t>
  </si>
  <si>
    <t>2017-18 Q1</t>
  </si>
  <si>
    <t>2017-18 Q2</t>
  </si>
  <si>
    <t>2017-18 Q3</t>
  </si>
  <si>
    <t>2017-18 Q4</t>
  </si>
  <si>
    <t>2018-19 Q1</t>
  </si>
  <si>
    <t>2018-19 Q2</t>
  </si>
  <si>
    <t>2018-19 Q3</t>
  </si>
  <si>
    <t>2018-19 Q4</t>
  </si>
  <si>
    <t>2019-20 Q1</t>
  </si>
  <si>
    <t>2019-20 Q2</t>
  </si>
  <si>
    <t>2019-20 Q3</t>
  </si>
  <si>
    <t>2019-20 Q4</t>
  </si>
  <si>
    <t>2020-21 Q1</t>
  </si>
  <si>
    <t>2020-21 Q2</t>
  </si>
  <si>
    <t>2020-21 Q3</t>
  </si>
  <si>
    <t>2020-21 Q4</t>
  </si>
  <si>
    <t>2021-22 Q1</t>
  </si>
  <si>
    <t>2021-22 Q2</t>
  </si>
  <si>
    <t>2021-22 Q3</t>
  </si>
  <si>
    <t>2021-22 Q4</t>
  </si>
  <si>
    <t>2022-23 Q1</t>
  </si>
  <si>
    <t>2022-23 Q2</t>
  </si>
  <si>
    <t>2022-23 Q3</t>
  </si>
  <si>
    <t>2022-23 Q4</t>
  </si>
  <si>
    <t>2023-24 Q1</t>
  </si>
  <si>
    <t>2023-24 Q2</t>
  </si>
  <si>
    <t>2023-24 Q3</t>
  </si>
  <si>
    <t>2023-24 Q4</t>
  </si>
  <si>
    <t>2024-25 Q1</t>
  </si>
  <si>
    <t>2024-25 Q2</t>
  </si>
  <si>
    <t>2024-25 Q3</t>
  </si>
  <si>
    <t>2024-25 Q4</t>
  </si>
  <si>
    <t>2025-26 Q1</t>
  </si>
  <si>
    <t>2025-26 Q2</t>
  </si>
  <si>
    <t>Real GDP</t>
  </si>
  <si>
    <t>Nominal GDP</t>
  </si>
  <si>
    <t xml:space="preserve"> GDP Deflator</t>
  </si>
  <si>
    <t>Deflator YoY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</si>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</sst>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2"/>
      <color theme="1"/>
      <name val="Aptos Narrow"/>
      <family val="2"/>
      <charset val="1"/>
    </font>
    <font>
      <sz val="10"/>
      <name val="Arial"/>
      <family val="2"/>
    </font>
    <font>
      <b/>
      <sz val="11"/>
      <name val="Aptos Narrow"/>
    </font>
    <font>
      <sz val="12"/>
      <color rgb="FF000000"/>
      <name val="Aptos Narrow"/>
      <family val="2"/>
      <charset val="1"/>
    </font>
    <font>
      <sz val="11"/>
      <name val="Aptos Narrow"/>
    </font>
    <font>
      <i/>
      <sz val="9"/>
      <name val="Aptos Narrow"/>
    </font>
    <font>
      <b/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7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10" fontId="0" fillId="0" borderId="0" xfId="0" applyNumberForma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3" fontId="6" fillId="0" borderId="1" xfId="0" applyNumberFormat="1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center" vertical="top"/>
    </xf>
    <xf numFmtId="3" fontId="6" fillId="0" borderId="3" xfId="0" applyNumberFormat="1" applyFont="1" applyBorder="1" applyAlignment="1">
      <alignment horizontal="center" vertical="top"/>
    </xf>
    <xf numFmtId="3" fontId="6" fillId="0" borderId="4" xfId="0" applyNumberFormat="1" applyFont="1" applyBorder="1" applyAlignment="1">
      <alignment horizontal="center" vertical="top"/>
    </xf>
    <xf numFmtId="3" fontId="6" fillId="0" borderId="5" xfId="0" applyNumberFormat="1" applyFont="1" applyBorder="1" applyAlignment="1">
      <alignment horizontal="center" vertical="top"/>
    </xf>
    <xf numFmtId="3" fontId="6" fillId="0" borderId="6" xfId="0" applyNumberFormat="1" applyFont="1" applyBorder="1" applyAlignment="1">
      <alignment horizontal="center" vertical="top"/>
    </xf>
    <xf numFmtId="10" fontId="4" fillId="0" borderId="0" xfId="0" applyNumberFormat="1" applyFont="1"/>
    <xf numFmtId="10" fontId="1" fillId="0" borderId="0" xfId="1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7"/>
  <sheetViews>
    <sheetView topLeftCell="A6" zoomScaleNormal="100" workbookViewId="0">
      <selection activeCell="P34" sqref="P34"/>
    </sheetView>
  </sheetViews>
  <sheetFormatPr baseColWidth="10" defaultColWidth="10.5" defaultRowHeight="16" x14ac:dyDescent="0.2"/>
  <cols>
    <col min="10" max="10" width="13.33203125" customWidth="1"/>
    <col min="12" max="12" width="19.1640625" customWidth="1"/>
  </cols>
  <sheetData>
    <row r="1" spans="1:13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s="1" t="s">
        <v>11</v>
      </c>
    </row>
    <row r="2" spans="1:13" ht="15.75" customHeight="1" x14ac:dyDescent="0.2">
      <c r="A2" t="s">
        <v>12</v>
      </c>
      <c r="B2">
        <v>2025</v>
      </c>
      <c r="C2">
        <v>12</v>
      </c>
      <c r="D2" t="s">
        <v>13</v>
      </c>
      <c r="E2" t="s">
        <v>14</v>
      </c>
      <c r="F2" s="2">
        <v>198</v>
      </c>
      <c r="G2" s="2">
        <v>1.33</v>
      </c>
      <c r="H2" t="s">
        <v>15</v>
      </c>
      <c r="I2" s="3">
        <v>157.19999999999999</v>
      </c>
      <c r="J2" s="4">
        <f t="shared" ref="J2:J33" si="0">IFERROR(I2/I14-1,"")</f>
        <v>9.633911368015502E-3</v>
      </c>
      <c r="L2">
        <f>(AVERAGE(G2:G4)/AVERAGE(G14:G16)-1)*100</f>
        <v>-86.457717327025435</v>
      </c>
      <c r="M2" s="5" t="str">
        <f t="shared" ref="M2:M33" si="1">IF(C2="","",(IF(C2&gt;=4,B2,B2-1))&amp;"-"&amp;TEXT(MOD(IF(C2&gt;=4,B2,B2-1)+1,100),"00")&amp;" Q"&amp;IF(C2&gt;=4,ROUNDUP((C2-3)/3,0),ROUNDUP((C2+9)/3,0)))</f>
        <v>2025-26 Q3</v>
      </c>
    </row>
    <row r="3" spans="1:13" ht="15.75" customHeight="1" x14ac:dyDescent="0.2">
      <c r="A3" t="s">
        <v>12</v>
      </c>
      <c r="B3">
        <v>2025</v>
      </c>
      <c r="C3">
        <v>11</v>
      </c>
      <c r="D3" t="s">
        <v>16</v>
      </c>
      <c r="E3" t="s">
        <v>14</v>
      </c>
      <c r="F3" s="2">
        <v>197.9</v>
      </c>
      <c r="G3" s="2">
        <v>0.71</v>
      </c>
      <c r="H3" t="s">
        <v>15</v>
      </c>
      <c r="I3" s="3">
        <v>156.19999999999999</v>
      </c>
      <c r="J3" s="4">
        <f t="shared" si="0"/>
        <v>-1.2787723785167016E-3</v>
      </c>
      <c r="M3" s="5" t="str">
        <f t="shared" si="1"/>
        <v>2025-26 Q3</v>
      </c>
    </row>
    <row r="4" spans="1:13" ht="15.75" customHeight="1" x14ac:dyDescent="0.2">
      <c r="A4" t="s">
        <v>12</v>
      </c>
      <c r="B4">
        <v>2025</v>
      </c>
      <c r="C4">
        <v>10</v>
      </c>
      <c r="D4" t="s">
        <v>17</v>
      </c>
      <c r="E4" t="s">
        <v>14</v>
      </c>
      <c r="F4" s="2">
        <v>197.3</v>
      </c>
      <c r="G4" s="2">
        <v>0.25</v>
      </c>
      <c r="H4" t="s">
        <v>15</v>
      </c>
      <c r="I4" s="3">
        <v>155.1</v>
      </c>
      <c r="J4" s="4">
        <f t="shared" si="0"/>
        <v>-1.02105934907466E-2</v>
      </c>
      <c r="M4" s="5" t="str">
        <f t="shared" si="1"/>
        <v>2025-26 Q3</v>
      </c>
    </row>
    <row r="5" spans="1:13" ht="15.75" customHeight="1" x14ac:dyDescent="0.2">
      <c r="A5" t="s">
        <v>12</v>
      </c>
      <c r="B5">
        <v>2025</v>
      </c>
      <c r="C5">
        <v>9</v>
      </c>
      <c r="D5" t="s">
        <v>18</v>
      </c>
      <c r="E5" t="s">
        <v>14</v>
      </c>
      <c r="F5" s="2">
        <v>197</v>
      </c>
      <c r="G5" s="2">
        <v>1.44</v>
      </c>
      <c r="H5" t="s">
        <v>15</v>
      </c>
      <c r="I5" s="3">
        <v>155</v>
      </c>
      <c r="J5" s="4">
        <f t="shared" si="0"/>
        <v>1.9392372333548735E-3</v>
      </c>
      <c r="M5" s="5" t="str">
        <f t="shared" si="1"/>
        <v>2025-26 Q2</v>
      </c>
    </row>
    <row r="6" spans="1:13" ht="15.75" customHeight="1" x14ac:dyDescent="0.2">
      <c r="A6" t="s">
        <v>12</v>
      </c>
      <c r="B6">
        <v>2025</v>
      </c>
      <c r="C6">
        <v>8</v>
      </c>
      <c r="D6" t="s">
        <v>19</v>
      </c>
      <c r="E6" t="s">
        <v>14</v>
      </c>
      <c r="F6" s="2">
        <v>197</v>
      </c>
      <c r="G6" s="2">
        <v>2.0699999999999998</v>
      </c>
      <c r="H6" t="s">
        <v>15</v>
      </c>
      <c r="I6" s="3">
        <v>155.19999999999999</v>
      </c>
      <c r="J6" s="4">
        <f t="shared" si="0"/>
        <v>5.1813471502588637E-3</v>
      </c>
      <c r="M6" s="5" t="str">
        <f t="shared" si="1"/>
        <v>2025-26 Q2</v>
      </c>
    </row>
    <row r="7" spans="1:13" ht="15.75" customHeight="1" x14ac:dyDescent="0.2">
      <c r="A7" t="s">
        <v>12</v>
      </c>
      <c r="B7">
        <v>2025</v>
      </c>
      <c r="C7">
        <v>7</v>
      </c>
      <c r="D7" t="s">
        <v>20</v>
      </c>
      <c r="E7" t="s">
        <v>14</v>
      </c>
      <c r="F7" s="2">
        <v>196.1</v>
      </c>
      <c r="G7" s="2">
        <v>1.61</v>
      </c>
      <c r="H7" t="s">
        <v>15</v>
      </c>
      <c r="I7" s="3">
        <v>154.4</v>
      </c>
      <c r="J7" s="4">
        <f t="shared" si="0"/>
        <v>-5.7952350289761645E-3</v>
      </c>
      <c r="M7" s="5" t="str">
        <f t="shared" si="1"/>
        <v>2025-26 Q2</v>
      </c>
    </row>
    <row r="8" spans="1:13" ht="15.75" customHeight="1" x14ac:dyDescent="0.2">
      <c r="A8" t="s">
        <v>12</v>
      </c>
      <c r="B8">
        <v>2025</v>
      </c>
      <c r="C8">
        <v>6</v>
      </c>
      <c r="D8" t="s">
        <v>21</v>
      </c>
      <c r="E8" t="s">
        <v>14</v>
      </c>
      <c r="F8" s="2">
        <v>194.2</v>
      </c>
      <c r="G8" s="2">
        <v>2.1</v>
      </c>
      <c r="H8" t="s">
        <v>15</v>
      </c>
      <c r="I8" s="3">
        <v>153.69999999999999</v>
      </c>
      <c r="J8" s="4">
        <f t="shared" si="0"/>
        <v>-1.948051948052032E-3</v>
      </c>
      <c r="L8">
        <f>(AVERAGE(G8:G10)/AVERAGE(G20:G22)-1)*100</f>
        <v>-45.071380013596198</v>
      </c>
      <c r="M8" s="5" t="str">
        <f t="shared" si="1"/>
        <v>2025-26 Q1</v>
      </c>
    </row>
    <row r="9" spans="1:13" ht="15.75" customHeight="1" x14ac:dyDescent="0.2">
      <c r="A9" t="s">
        <v>12</v>
      </c>
      <c r="B9">
        <v>2025</v>
      </c>
      <c r="C9">
        <v>5</v>
      </c>
      <c r="D9" t="s">
        <v>22</v>
      </c>
      <c r="E9" t="s">
        <v>14</v>
      </c>
      <c r="F9" s="2">
        <v>193</v>
      </c>
      <c r="G9" s="2">
        <v>2.82</v>
      </c>
      <c r="H9" t="s">
        <v>15</v>
      </c>
      <c r="I9" s="3">
        <v>153.69999999999999</v>
      </c>
      <c r="J9" s="4">
        <f t="shared" si="0"/>
        <v>1.3029315960910726E-3</v>
      </c>
      <c r="M9" s="5" t="str">
        <f t="shared" si="1"/>
        <v>2025-26 Q1</v>
      </c>
    </row>
    <row r="10" spans="1:13" ht="15.75" customHeight="1" x14ac:dyDescent="0.2">
      <c r="A10" t="s">
        <v>12</v>
      </c>
      <c r="B10">
        <v>2025</v>
      </c>
      <c r="C10">
        <v>4</v>
      </c>
      <c r="D10" t="s">
        <v>23</v>
      </c>
      <c r="E10" t="s">
        <v>14</v>
      </c>
      <c r="F10" s="2">
        <v>192.6</v>
      </c>
      <c r="G10" s="2">
        <v>3.16</v>
      </c>
      <c r="H10" t="s">
        <v>15</v>
      </c>
      <c r="I10" s="3">
        <v>154.19999999999999</v>
      </c>
      <c r="J10" s="4">
        <f t="shared" si="0"/>
        <v>8.5022890778285731E-3</v>
      </c>
      <c r="M10" s="5" t="str">
        <f t="shared" si="1"/>
        <v>2025-26 Q1</v>
      </c>
    </row>
    <row r="11" spans="1:13" ht="15.75" customHeight="1" x14ac:dyDescent="0.2">
      <c r="A11" t="s">
        <v>12</v>
      </c>
      <c r="B11">
        <v>2025</v>
      </c>
      <c r="C11">
        <v>3</v>
      </c>
      <c r="D11" t="s">
        <v>24</v>
      </c>
      <c r="E11" t="s">
        <v>14</v>
      </c>
      <c r="F11" s="2">
        <v>192</v>
      </c>
      <c r="G11" s="2">
        <v>3.34</v>
      </c>
      <c r="H11" t="s">
        <v>15</v>
      </c>
      <c r="I11" s="3">
        <v>154.80000000000001</v>
      </c>
      <c r="J11" s="4">
        <f t="shared" si="0"/>
        <v>2.2457067371202122E-2</v>
      </c>
      <c r="M11" s="5" t="str">
        <f t="shared" si="1"/>
        <v>2024-25 Q4</v>
      </c>
    </row>
    <row r="12" spans="1:13" ht="15.75" customHeight="1" x14ac:dyDescent="0.2">
      <c r="A12" t="s">
        <v>12</v>
      </c>
      <c r="B12">
        <v>2025</v>
      </c>
      <c r="C12">
        <v>2</v>
      </c>
      <c r="D12" t="s">
        <v>25</v>
      </c>
      <c r="E12" t="s">
        <v>14</v>
      </c>
      <c r="F12" s="2">
        <v>192.5</v>
      </c>
      <c r="G12" s="2">
        <v>3.61</v>
      </c>
      <c r="H12" t="s">
        <v>15</v>
      </c>
      <c r="I12" s="3">
        <v>154.9</v>
      </c>
      <c r="J12" s="4">
        <f t="shared" si="0"/>
        <v>2.4470899470899532E-2</v>
      </c>
      <c r="M12" s="5" t="str">
        <f t="shared" si="1"/>
        <v>2024-25 Q4</v>
      </c>
    </row>
    <row r="13" spans="1:13" ht="15.75" customHeight="1" x14ac:dyDescent="0.2">
      <c r="A13" t="s">
        <v>12</v>
      </c>
      <c r="B13">
        <v>2025</v>
      </c>
      <c r="C13">
        <v>1</v>
      </c>
      <c r="D13" t="s">
        <v>26</v>
      </c>
      <c r="E13" t="s">
        <v>14</v>
      </c>
      <c r="F13" s="2">
        <v>193.4</v>
      </c>
      <c r="G13" s="2">
        <v>4.26</v>
      </c>
      <c r="H13" t="s">
        <v>15</v>
      </c>
      <c r="I13" s="3">
        <v>155</v>
      </c>
      <c r="J13" s="4">
        <f t="shared" si="0"/>
        <v>2.5132275132275117E-2</v>
      </c>
      <c r="M13" s="5" t="str">
        <f t="shared" si="1"/>
        <v>2024-25 Q4</v>
      </c>
    </row>
    <row r="14" spans="1:13" ht="15.75" customHeight="1" x14ac:dyDescent="0.2">
      <c r="A14" t="s">
        <v>12</v>
      </c>
      <c r="B14">
        <v>2024</v>
      </c>
      <c r="C14">
        <v>12</v>
      </c>
      <c r="D14" t="s">
        <v>13</v>
      </c>
      <c r="E14" t="s">
        <v>14</v>
      </c>
      <c r="F14" s="2">
        <v>195.4</v>
      </c>
      <c r="G14" s="2">
        <v>5.22</v>
      </c>
      <c r="H14" t="s">
        <v>15</v>
      </c>
      <c r="I14" s="3">
        <v>155.69999999999999</v>
      </c>
      <c r="J14" s="4">
        <f t="shared" si="0"/>
        <v>2.5691699604742935E-2</v>
      </c>
      <c r="M14" s="5" t="str">
        <f t="shared" si="1"/>
        <v>2024-25 Q3</v>
      </c>
    </row>
    <row r="15" spans="1:13" ht="15.75" customHeight="1" x14ac:dyDescent="0.2">
      <c r="A15" t="s">
        <v>12</v>
      </c>
      <c r="B15">
        <v>2024</v>
      </c>
      <c r="C15">
        <v>11</v>
      </c>
      <c r="D15" t="s">
        <v>16</v>
      </c>
      <c r="E15" t="s">
        <v>14</v>
      </c>
      <c r="F15" s="2">
        <v>196.5</v>
      </c>
      <c r="G15" s="2">
        <v>5.48</v>
      </c>
      <c r="H15" t="s">
        <v>15</v>
      </c>
      <c r="I15" s="3">
        <v>156.4</v>
      </c>
      <c r="J15" s="4">
        <f t="shared" si="0"/>
        <v>2.1554539516655868E-2</v>
      </c>
      <c r="M15" s="5" t="str">
        <f t="shared" si="1"/>
        <v>2024-25 Q3</v>
      </c>
    </row>
    <row r="16" spans="1:13" ht="15.75" customHeight="1" x14ac:dyDescent="0.2">
      <c r="A16" t="s">
        <v>12</v>
      </c>
      <c r="B16">
        <v>2024</v>
      </c>
      <c r="C16">
        <v>10</v>
      </c>
      <c r="D16" t="s">
        <v>17</v>
      </c>
      <c r="E16" t="s">
        <v>14</v>
      </c>
      <c r="F16" s="2">
        <v>196.8</v>
      </c>
      <c r="G16" s="2">
        <v>6.21</v>
      </c>
      <c r="H16" t="s">
        <v>15</v>
      </c>
      <c r="I16" s="3">
        <v>156.69999999999999</v>
      </c>
      <c r="J16" s="4">
        <f t="shared" si="0"/>
        <v>2.7540983606557212E-2</v>
      </c>
      <c r="M16" s="5" t="str">
        <f t="shared" si="1"/>
        <v>2024-25 Q3</v>
      </c>
    </row>
    <row r="17" spans="1:13" ht="15.75" customHeight="1" x14ac:dyDescent="0.2">
      <c r="A17" t="s">
        <v>12</v>
      </c>
      <c r="B17">
        <v>2024</v>
      </c>
      <c r="C17">
        <v>9</v>
      </c>
      <c r="D17" t="s">
        <v>18</v>
      </c>
      <c r="E17" t="s">
        <v>14</v>
      </c>
      <c r="F17" s="2">
        <v>194.2</v>
      </c>
      <c r="G17" s="2">
        <v>5.49</v>
      </c>
      <c r="H17" t="s">
        <v>15</v>
      </c>
      <c r="I17" s="3">
        <v>154.69999999999999</v>
      </c>
      <c r="J17" s="4">
        <f t="shared" si="0"/>
        <v>1.9104084321475368E-2</v>
      </c>
      <c r="M17" s="5" t="str">
        <f t="shared" si="1"/>
        <v>2024-25 Q2</v>
      </c>
    </row>
    <row r="18" spans="1:13" ht="15.75" customHeight="1" x14ac:dyDescent="0.2">
      <c r="A18" t="s">
        <v>12</v>
      </c>
      <c r="B18">
        <v>2024</v>
      </c>
      <c r="C18">
        <v>8</v>
      </c>
      <c r="D18" t="s">
        <v>19</v>
      </c>
      <c r="E18" t="s">
        <v>14</v>
      </c>
      <c r="F18" s="2">
        <v>193</v>
      </c>
      <c r="G18" s="2">
        <v>3.65</v>
      </c>
      <c r="H18" t="s">
        <v>15</v>
      </c>
      <c r="I18" s="3">
        <v>154.4</v>
      </c>
      <c r="J18" s="4">
        <f t="shared" si="0"/>
        <v>1.2459016393442601E-2</v>
      </c>
      <c r="M18" s="5" t="str">
        <f t="shared" si="1"/>
        <v>2024-25 Q2</v>
      </c>
    </row>
    <row r="19" spans="1:13" ht="15.75" customHeight="1" x14ac:dyDescent="0.2">
      <c r="A19" t="s">
        <v>12</v>
      </c>
      <c r="B19">
        <v>2024</v>
      </c>
      <c r="C19">
        <v>7</v>
      </c>
      <c r="D19" t="s">
        <v>20</v>
      </c>
      <c r="E19" t="s">
        <v>14</v>
      </c>
      <c r="F19" s="2">
        <v>193</v>
      </c>
      <c r="G19" s="2">
        <v>3.6</v>
      </c>
      <c r="H19" t="s">
        <v>15</v>
      </c>
      <c r="I19" s="3">
        <v>155.30000000000001</v>
      </c>
      <c r="J19" s="4">
        <f t="shared" si="0"/>
        <v>2.1038790269559682E-2</v>
      </c>
      <c r="M19" s="5" t="str">
        <f t="shared" si="1"/>
        <v>2024-25 Q2</v>
      </c>
    </row>
    <row r="20" spans="1:13" ht="15.75" customHeight="1" x14ac:dyDescent="0.2">
      <c r="A20" t="s">
        <v>12</v>
      </c>
      <c r="B20">
        <v>2024</v>
      </c>
      <c r="C20">
        <v>6</v>
      </c>
      <c r="D20" t="s">
        <v>21</v>
      </c>
      <c r="E20" t="s">
        <v>14</v>
      </c>
      <c r="F20" s="2">
        <v>190.2</v>
      </c>
      <c r="G20" s="2">
        <v>5.08</v>
      </c>
      <c r="H20" t="s">
        <v>15</v>
      </c>
      <c r="I20" s="3">
        <v>154</v>
      </c>
      <c r="J20" s="4">
        <f t="shared" si="0"/>
        <v>3.4251175285426427E-2</v>
      </c>
      <c r="M20" s="5" t="str">
        <f t="shared" si="1"/>
        <v>2024-25 Q1</v>
      </c>
    </row>
    <row r="21" spans="1:13" ht="15.75" customHeight="1" x14ac:dyDescent="0.2">
      <c r="A21" t="s">
        <v>12</v>
      </c>
      <c r="B21">
        <v>2024</v>
      </c>
      <c r="C21">
        <v>5</v>
      </c>
      <c r="D21" t="s">
        <v>22</v>
      </c>
      <c r="E21" t="s">
        <v>14</v>
      </c>
      <c r="F21" s="2">
        <v>187.7</v>
      </c>
      <c r="G21" s="2">
        <v>4.8</v>
      </c>
      <c r="H21" t="s">
        <v>15</v>
      </c>
      <c r="I21" s="3">
        <v>153.5</v>
      </c>
      <c r="J21" s="4">
        <f t="shared" si="0"/>
        <v>2.7443105756358666E-2</v>
      </c>
      <c r="M21" s="5" t="str">
        <f t="shared" si="1"/>
        <v>2024-25 Q1</v>
      </c>
    </row>
    <row r="22" spans="1:13" ht="15.75" customHeight="1" x14ac:dyDescent="0.2">
      <c r="A22" t="s">
        <v>12</v>
      </c>
      <c r="B22">
        <v>2024</v>
      </c>
      <c r="C22">
        <v>4</v>
      </c>
      <c r="D22" t="s">
        <v>23</v>
      </c>
      <c r="E22" t="s">
        <v>14</v>
      </c>
      <c r="F22" s="2">
        <v>186.7</v>
      </c>
      <c r="G22" s="2">
        <v>4.83</v>
      </c>
      <c r="H22" t="s">
        <v>15</v>
      </c>
      <c r="I22" s="3">
        <v>152.9</v>
      </c>
      <c r="J22" s="4">
        <f t="shared" si="0"/>
        <v>1.1912640635340921E-2</v>
      </c>
      <c r="M22" s="5" t="str">
        <f t="shared" si="1"/>
        <v>2024-25 Q1</v>
      </c>
    </row>
    <row r="23" spans="1:13" ht="15.75" customHeight="1" x14ac:dyDescent="0.2">
      <c r="A23" t="s">
        <v>12</v>
      </c>
      <c r="B23">
        <v>2024</v>
      </c>
      <c r="C23">
        <v>3</v>
      </c>
      <c r="D23" t="s">
        <v>24</v>
      </c>
      <c r="E23" t="s">
        <v>14</v>
      </c>
      <c r="F23" s="2">
        <v>185.8</v>
      </c>
      <c r="G23" s="2">
        <v>4.8499999999999996</v>
      </c>
      <c r="H23" t="s">
        <v>15</v>
      </c>
      <c r="I23" s="3">
        <v>151.4</v>
      </c>
      <c r="J23" s="4">
        <f t="shared" si="0"/>
        <v>2.6490066225166586E-3</v>
      </c>
      <c r="M23" s="5" t="str">
        <f t="shared" si="1"/>
        <v>2023-24 Q4</v>
      </c>
    </row>
    <row r="24" spans="1:13" ht="15.75" customHeight="1" x14ac:dyDescent="0.2">
      <c r="A24" t="s">
        <v>12</v>
      </c>
      <c r="B24">
        <v>2024</v>
      </c>
      <c r="C24">
        <v>2</v>
      </c>
      <c r="D24" t="s">
        <v>25</v>
      </c>
      <c r="E24" t="s">
        <v>14</v>
      </c>
      <c r="F24" s="2">
        <v>185.8</v>
      </c>
      <c r="G24" s="2">
        <v>5.09</v>
      </c>
      <c r="H24" t="s">
        <v>15</v>
      </c>
      <c r="I24" s="3">
        <v>151.19999999999999</v>
      </c>
      <c r="J24" s="4">
        <f t="shared" si="0"/>
        <v>1.9880715705764551E-3</v>
      </c>
      <c r="M24" s="5" t="str">
        <f t="shared" si="1"/>
        <v>2023-24 Q4</v>
      </c>
    </row>
    <row r="25" spans="1:13" ht="15.75" customHeight="1" x14ac:dyDescent="0.2">
      <c r="A25" t="s">
        <v>12</v>
      </c>
      <c r="B25">
        <v>2024</v>
      </c>
      <c r="C25">
        <v>1</v>
      </c>
      <c r="D25" t="s">
        <v>26</v>
      </c>
      <c r="E25" t="s">
        <v>14</v>
      </c>
      <c r="F25" s="2">
        <v>185.5</v>
      </c>
      <c r="G25" s="2">
        <v>5.0999999999999996</v>
      </c>
      <c r="H25" t="s">
        <v>15</v>
      </c>
      <c r="I25" s="3">
        <v>151.19999999999999</v>
      </c>
      <c r="J25" s="4">
        <f t="shared" si="0"/>
        <v>3.3178500331785266E-3</v>
      </c>
      <c r="M25" s="5" t="str">
        <f t="shared" si="1"/>
        <v>2023-24 Q4</v>
      </c>
    </row>
    <row r="26" spans="1:13" ht="15.75" customHeight="1" x14ac:dyDescent="0.2">
      <c r="A26" t="s">
        <v>12</v>
      </c>
      <c r="B26">
        <v>2023</v>
      </c>
      <c r="C26">
        <v>12</v>
      </c>
      <c r="D26" t="s">
        <v>13</v>
      </c>
      <c r="E26" t="s">
        <v>14</v>
      </c>
      <c r="F26" s="2">
        <v>185.7</v>
      </c>
      <c r="G26" s="2">
        <v>5.69</v>
      </c>
      <c r="H26" t="s">
        <v>15</v>
      </c>
      <c r="I26" s="3">
        <v>151.80000000000001</v>
      </c>
      <c r="J26" s="4">
        <f t="shared" si="0"/>
        <v>8.6378737541528139E-3</v>
      </c>
      <c r="M26" s="5" t="str">
        <f t="shared" si="1"/>
        <v>2023-24 Q3</v>
      </c>
    </row>
    <row r="27" spans="1:13" ht="15.75" customHeight="1" x14ac:dyDescent="0.2">
      <c r="A27" t="s">
        <v>12</v>
      </c>
      <c r="B27">
        <v>2023</v>
      </c>
      <c r="C27">
        <v>11</v>
      </c>
      <c r="D27" t="s">
        <v>16</v>
      </c>
      <c r="E27" t="s">
        <v>14</v>
      </c>
      <c r="F27" s="2">
        <v>186.3</v>
      </c>
      <c r="G27" s="2">
        <v>5.55</v>
      </c>
      <c r="H27" t="s">
        <v>15</v>
      </c>
      <c r="I27" s="3">
        <v>153.1</v>
      </c>
      <c r="J27" s="4">
        <f t="shared" si="0"/>
        <v>3.9344262295082366E-3</v>
      </c>
      <c r="M27" s="5" t="str">
        <f t="shared" si="1"/>
        <v>2023-24 Q3</v>
      </c>
    </row>
    <row r="28" spans="1:13" ht="15.75" customHeight="1" x14ac:dyDescent="0.2">
      <c r="A28" t="s">
        <v>12</v>
      </c>
      <c r="B28">
        <v>2023</v>
      </c>
      <c r="C28">
        <v>10</v>
      </c>
      <c r="D28" t="s">
        <v>17</v>
      </c>
      <c r="E28" t="s">
        <v>14</v>
      </c>
      <c r="F28" s="2">
        <v>185.3</v>
      </c>
      <c r="G28" s="2">
        <v>4.87</v>
      </c>
      <c r="H28" t="s">
        <v>15</v>
      </c>
      <c r="I28" s="3">
        <v>152.5</v>
      </c>
      <c r="J28" s="4">
        <f t="shared" si="0"/>
        <v>-2.6160889470242532E-3</v>
      </c>
      <c r="M28" s="5" t="str">
        <f t="shared" si="1"/>
        <v>2023-24 Q3</v>
      </c>
    </row>
    <row r="29" spans="1:13" ht="15.75" customHeight="1" x14ac:dyDescent="0.2">
      <c r="A29" t="s">
        <v>12</v>
      </c>
      <c r="B29">
        <v>2023</v>
      </c>
      <c r="C29">
        <v>9</v>
      </c>
      <c r="D29" t="s">
        <v>18</v>
      </c>
      <c r="E29" t="s">
        <v>14</v>
      </c>
      <c r="F29" s="2">
        <v>184.1</v>
      </c>
      <c r="G29" s="2">
        <v>5.0199999999999996</v>
      </c>
      <c r="H29" t="s">
        <v>15</v>
      </c>
      <c r="I29" s="3">
        <v>151.80000000000001</v>
      </c>
      <c r="J29" s="4">
        <f t="shared" si="0"/>
        <v>-6.5832784726793658E-4</v>
      </c>
      <c r="M29" s="5" t="str">
        <f t="shared" si="1"/>
        <v>2023-24 Q2</v>
      </c>
    </row>
    <row r="30" spans="1:13" ht="15.75" customHeight="1" x14ac:dyDescent="0.2">
      <c r="A30" t="s">
        <v>12</v>
      </c>
      <c r="B30">
        <v>2023</v>
      </c>
      <c r="C30">
        <v>8</v>
      </c>
      <c r="D30" t="s">
        <v>19</v>
      </c>
      <c r="E30" t="s">
        <v>14</v>
      </c>
      <c r="F30" s="2">
        <v>186.2</v>
      </c>
      <c r="G30" s="2">
        <v>6.83</v>
      </c>
      <c r="H30" t="s">
        <v>15</v>
      </c>
      <c r="I30" s="3">
        <v>152.5</v>
      </c>
      <c r="J30" s="4">
        <f t="shared" si="0"/>
        <v>-4.5691906005220773E-3</v>
      </c>
      <c r="M30" s="5" t="str">
        <f t="shared" si="1"/>
        <v>2023-24 Q2</v>
      </c>
    </row>
    <row r="31" spans="1:13" ht="15.75" customHeight="1" x14ac:dyDescent="0.2">
      <c r="A31" t="s">
        <v>12</v>
      </c>
      <c r="B31">
        <v>2023</v>
      </c>
      <c r="C31">
        <v>7</v>
      </c>
      <c r="D31" t="s">
        <v>20</v>
      </c>
      <c r="E31" t="s">
        <v>14</v>
      </c>
      <c r="F31" s="2">
        <v>186.3</v>
      </c>
      <c r="G31" s="2">
        <v>7.44</v>
      </c>
      <c r="H31" t="s">
        <v>15</v>
      </c>
      <c r="I31" s="3">
        <v>152.1</v>
      </c>
      <c r="J31" s="4">
        <f t="shared" si="0"/>
        <v>-1.2337662337662425E-2</v>
      </c>
      <c r="M31" s="5" t="str">
        <f t="shared" si="1"/>
        <v>2023-24 Q2</v>
      </c>
    </row>
    <row r="32" spans="1:13" ht="15.75" customHeight="1" x14ac:dyDescent="0.2">
      <c r="A32" t="s">
        <v>12</v>
      </c>
      <c r="B32">
        <v>2023</v>
      </c>
      <c r="C32">
        <v>6</v>
      </c>
      <c r="D32" t="s">
        <v>21</v>
      </c>
      <c r="E32" t="s">
        <v>14</v>
      </c>
      <c r="F32" s="2">
        <v>181</v>
      </c>
      <c r="G32" s="2">
        <v>4.87</v>
      </c>
      <c r="H32" t="s">
        <v>15</v>
      </c>
      <c r="I32" s="3">
        <v>148.9</v>
      </c>
      <c r="J32" s="4">
        <f t="shared" si="0"/>
        <v>-4.1827541827541781E-2</v>
      </c>
      <c r="M32" s="5" t="str">
        <f t="shared" si="1"/>
        <v>2023-24 Q1</v>
      </c>
    </row>
    <row r="33" spans="1:13" ht="15.75" customHeight="1" x14ac:dyDescent="0.2">
      <c r="A33" t="s">
        <v>12</v>
      </c>
      <c r="B33">
        <v>2023</v>
      </c>
      <c r="C33">
        <v>5</v>
      </c>
      <c r="D33" t="s">
        <v>22</v>
      </c>
      <c r="E33" t="s">
        <v>14</v>
      </c>
      <c r="F33" s="2">
        <v>179.1</v>
      </c>
      <c r="G33" s="2">
        <v>4.3099999999999996</v>
      </c>
      <c r="H33" t="s">
        <v>15</v>
      </c>
      <c r="I33" s="3">
        <v>149.4</v>
      </c>
      <c r="J33" s="4">
        <f t="shared" si="0"/>
        <v>-3.612903225806452E-2</v>
      </c>
      <c r="M33" s="5" t="str">
        <f t="shared" si="1"/>
        <v>2023-24 Q1</v>
      </c>
    </row>
    <row r="34" spans="1:13" ht="15.75" customHeight="1" x14ac:dyDescent="0.2">
      <c r="A34" t="s">
        <v>12</v>
      </c>
      <c r="B34">
        <v>2023</v>
      </c>
      <c r="C34">
        <v>4</v>
      </c>
      <c r="D34" t="s">
        <v>23</v>
      </c>
      <c r="E34" t="s">
        <v>14</v>
      </c>
      <c r="F34" s="2">
        <v>178.1</v>
      </c>
      <c r="G34" s="2">
        <v>4.7</v>
      </c>
      <c r="H34" t="s">
        <v>15</v>
      </c>
      <c r="I34" s="3">
        <v>151.1</v>
      </c>
      <c r="J34" s="4">
        <f t="shared" ref="J34:J65" si="2">IFERROR(I34/I46-1,"")</f>
        <v>-7.879185817465606E-3</v>
      </c>
      <c r="M34" s="5" t="str">
        <f t="shared" ref="M34:M65" si="3">IF(C34="","",(IF(C34&gt;=4,B34,B34-1))&amp;"-"&amp;TEXT(MOD(IF(C34&gt;=4,B34,B34-1)+1,100),"00")&amp;" Q"&amp;IF(C34&gt;=4,ROUNDUP((C34-3)/3,0),ROUNDUP((C34+9)/3,0)))</f>
        <v>2023-24 Q1</v>
      </c>
    </row>
    <row r="35" spans="1:13" ht="15.75" customHeight="1" x14ac:dyDescent="0.2">
      <c r="A35" t="s">
        <v>12</v>
      </c>
      <c r="B35">
        <v>2023</v>
      </c>
      <c r="C35">
        <v>3</v>
      </c>
      <c r="D35" t="s">
        <v>24</v>
      </c>
      <c r="E35" t="s">
        <v>14</v>
      </c>
      <c r="F35" s="2">
        <v>177.2</v>
      </c>
      <c r="G35" s="2">
        <v>5.66</v>
      </c>
      <c r="H35" t="s">
        <v>15</v>
      </c>
      <c r="I35" s="3">
        <v>151</v>
      </c>
      <c r="J35" s="4">
        <f t="shared" si="2"/>
        <v>1.410342511752849E-2</v>
      </c>
      <c r="M35" s="5" t="str">
        <f t="shared" si="3"/>
        <v>2022-23 Q4</v>
      </c>
    </row>
    <row r="36" spans="1:13" ht="15.75" customHeight="1" x14ac:dyDescent="0.2">
      <c r="A36" t="s">
        <v>12</v>
      </c>
      <c r="B36">
        <v>2023</v>
      </c>
      <c r="C36">
        <v>2</v>
      </c>
      <c r="D36" t="s">
        <v>25</v>
      </c>
      <c r="E36" t="s">
        <v>14</v>
      </c>
      <c r="F36" s="2">
        <v>176.8</v>
      </c>
      <c r="G36" s="2">
        <v>6.44</v>
      </c>
      <c r="H36" t="s">
        <v>15</v>
      </c>
      <c r="I36" s="3">
        <v>150.9</v>
      </c>
      <c r="J36" s="4">
        <f t="shared" si="2"/>
        <v>3.8540949759118925E-2</v>
      </c>
      <c r="M36" s="5" t="str">
        <f t="shared" si="3"/>
        <v>2022-23 Q4</v>
      </c>
    </row>
    <row r="37" spans="1:13" ht="15.75" customHeight="1" x14ac:dyDescent="0.2">
      <c r="A37" t="s">
        <v>12</v>
      </c>
      <c r="B37">
        <v>2023</v>
      </c>
      <c r="C37">
        <v>1</v>
      </c>
      <c r="D37" t="s">
        <v>26</v>
      </c>
      <c r="E37" t="s">
        <v>14</v>
      </c>
      <c r="F37" s="2">
        <v>176.5</v>
      </c>
      <c r="G37" s="2">
        <v>6.52</v>
      </c>
      <c r="H37" t="s">
        <v>15</v>
      </c>
      <c r="I37" s="3">
        <v>150.69999999999999</v>
      </c>
      <c r="J37" s="4">
        <f t="shared" si="2"/>
        <v>4.7983310152990066E-2</v>
      </c>
      <c r="M37" s="5" t="str">
        <f t="shared" si="3"/>
        <v>2022-23 Q4</v>
      </c>
    </row>
    <row r="38" spans="1:13" ht="15.75" customHeight="1" x14ac:dyDescent="0.2">
      <c r="A38" t="s">
        <v>12</v>
      </c>
      <c r="B38">
        <v>2022</v>
      </c>
      <c r="C38">
        <v>12</v>
      </c>
      <c r="D38" t="s">
        <v>13</v>
      </c>
      <c r="E38" t="s">
        <v>14</v>
      </c>
      <c r="F38" s="2">
        <v>175.7</v>
      </c>
      <c r="G38" s="2">
        <v>5.72</v>
      </c>
      <c r="H38" t="s">
        <v>15</v>
      </c>
      <c r="I38" s="3">
        <v>150.5</v>
      </c>
      <c r="J38" s="4">
        <f t="shared" si="2"/>
        <v>5.0244242847173659E-2</v>
      </c>
      <c r="M38" s="5" t="str">
        <f t="shared" si="3"/>
        <v>2022-23 Q3</v>
      </c>
    </row>
    <row r="39" spans="1:13" ht="15.75" customHeight="1" x14ac:dyDescent="0.2">
      <c r="A39" t="s">
        <v>12</v>
      </c>
      <c r="B39">
        <v>2022</v>
      </c>
      <c r="C39">
        <v>11</v>
      </c>
      <c r="D39" t="s">
        <v>16</v>
      </c>
      <c r="E39" t="s">
        <v>14</v>
      </c>
      <c r="F39" s="2">
        <v>176.5</v>
      </c>
      <c r="G39" s="2">
        <v>5.88</v>
      </c>
      <c r="H39" t="s">
        <v>15</v>
      </c>
      <c r="I39" s="3">
        <v>152.5</v>
      </c>
      <c r="J39" s="4">
        <f t="shared" si="2"/>
        <v>6.1238691718858762E-2</v>
      </c>
      <c r="M39" s="5" t="str">
        <f t="shared" si="3"/>
        <v>2022-23 Q3</v>
      </c>
    </row>
    <row r="40" spans="1:13" ht="15.75" customHeight="1" x14ac:dyDescent="0.2">
      <c r="A40" t="s">
        <v>12</v>
      </c>
      <c r="B40">
        <v>2022</v>
      </c>
      <c r="C40">
        <v>10</v>
      </c>
      <c r="D40" t="s">
        <v>17</v>
      </c>
      <c r="E40" t="s">
        <v>14</v>
      </c>
      <c r="F40" s="2">
        <v>176.7</v>
      </c>
      <c r="G40" s="2">
        <v>6.77</v>
      </c>
      <c r="H40" t="s">
        <v>15</v>
      </c>
      <c r="I40" s="3">
        <v>152.9</v>
      </c>
      <c r="J40" s="4">
        <f t="shared" si="2"/>
        <v>8.6709310589907718E-2</v>
      </c>
      <c r="M40" s="5" t="str">
        <f t="shared" si="3"/>
        <v>2022-23 Q3</v>
      </c>
    </row>
    <row r="41" spans="1:13" ht="15.75" customHeight="1" x14ac:dyDescent="0.2">
      <c r="A41" t="s">
        <v>12</v>
      </c>
      <c r="B41">
        <v>2022</v>
      </c>
      <c r="C41">
        <v>9</v>
      </c>
      <c r="D41" t="s">
        <v>18</v>
      </c>
      <c r="E41" t="s">
        <v>14</v>
      </c>
      <c r="F41" s="2">
        <v>175.3</v>
      </c>
      <c r="G41" s="2">
        <v>7.41</v>
      </c>
      <c r="H41" t="s">
        <v>15</v>
      </c>
      <c r="I41" s="3">
        <v>151.9</v>
      </c>
      <c r="J41" s="4">
        <f t="shared" si="2"/>
        <v>0.1055312954876273</v>
      </c>
      <c r="M41" s="5" t="str">
        <f t="shared" si="3"/>
        <v>2022-23 Q2</v>
      </c>
    </row>
    <row r="42" spans="1:13" ht="15.75" customHeight="1" x14ac:dyDescent="0.2">
      <c r="A42" t="s">
        <v>12</v>
      </c>
      <c r="B42">
        <v>2022</v>
      </c>
      <c r="C42">
        <v>8</v>
      </c>
      <c r="D42" t="s">
        <v>19</v>
      </c>
      <c r="E42" t="s">
        <v>14</v>
      </c>
      <c r="F42" s="2">
        <v>174.3</v>
      </c>
      <c r="G42" s="2">
        <v>7</v>
      </c>
      <c r="H42" t="s">
        <v>15</v>
      </c>
      <c r="I42" s="3">
        <v>153.19999999999999</v>
      </c>
      <c r="J42" s="4">
        <f t="shared" si="2"/>
        <v>0.12481644640234957</v>
      </c>
      <c r="M42" s="5" t="str">
        <f t="shared" si="3"/>
        <v>2022-23 Q2</v>
      </c>
    </row>
    <row r="43" spans="1:13" ht="15.75" customHeight="1" x14ac:dyDescent="0.2">
      <c r="A43" t="s">
        <v>12</v>
      </c>
      <c r="B43">
        <v>2022</v>
      </c>
      <c r="C43">
        <v>7</v>
      </c>
      <c r="D43" t="s">
        <v>20</v>
      </c>
      <c r="E43" t="s">
        <v>14</v>
      </c>
      <c r="F43" s="2">
        <v>173.4</v>
      </c>
      <c r="G43" s="2">
        <v>6.71</v>
      </c>
      <c r="H43" t="s">
        <v>15</v>
      </c>
      <c r="I43" s="3">
        <v>154</v>
      </c>
      <c r="J43" s="4">
        <f t="shared" si="2"/>
        <v>0.14074074074074083</v>
      </c>
      <c r="M43" s="5" t="str">
        <f t="shared" si="3"/>
        <v>2022-23 Q2</v>
      </c>
    </row>
    <row r="44" spans="1:13" ht="15.75" customHeight="1" x14ac:dyDescent="0.2">
      <c r="A44" t="s">
        <v>12</v>
      </c>
      <c r="B44">
        <v>2022</v>
      </c>
      <c r="C44">
        <v>6</v>
      </c>
      <c r="D44" t="s">
        <v>21</v>
      </c>
      <c r="E44" t="s">
        <v>14</v>
      </c>
      <c r="F44" s="2">
        <v>172.6</v>
      </c>
      <c r="G44" s="2">
        <v>7.01</v>
      </c>
      <c r="H44" t="s">
        <v>15</v>
      </c>
      <c r="I44" s="3">
        <v>155.4</v>
      </c>
      <c r="J44" s="4">
        <f t="shared" si="2"/>
        <v>0.1623036649214662</v>
      </c>
      <c r="M44" s="5" t="str">
        <f t="shared" si="3"/>
        <v>2022-23 Q1</v>
      </c>
    </row>
    <row r="45" spans="1:13" ht="15.75" customHeight="1" x14ac:dyDescent="0.2">
      <c r="A45" t="s">
        <v>12</v>
      </c>
      <c r="B45">
        <v>2022</v>
      </c>
      <c r="C45">
        <v>5</v>
      </c>
      <c r="D45" t="s">
        <v>22</v>
      </c>
      <c r="E45" t="s">
        <v>14</v>
      </c>
      <c r="F45" s="2">
        <v>171.7</v>
      </c>
      <c r="G45" s="2">
        <v>7.04</v>
      </c>
      <c r="H45" t="s">
        <v>15</v>
      </c>
      <c r="I45" s="3">
        <v>155</v>
      </c>
      <c r="J45" s="4">
        <f t="shared" si="2"/>
        <v>0.16629044394281411</v>
      </c>
      <c r="M45" s="5" t="str">
        <f t="shared" si="3"/>
        <v>2022-23 Q1</v>
      </c>
    </row>
    <row r="46" spans="1:13" ht="15.75" customHeight="1" x14ac:dyDescent="0.2">
      <c r="A46" t="s">
        <v>12</v>
      </c>
      <c r="B46">
        <v>2022</v>
      </c>
      <c r="C46">
        <v>4</v>
      </c>
      <c r="D46" t="s">
        <v>23</v>
      </c>
      <c r="E46" t="s">
        <v>14</v>
      </c>
      <c r="F46" s="2">
        <v>170.1</v>
      </c>
      <c r="G46" s="2">
        <v>7.79</v>
      </c>
      <c r="H46" t="s">
        <v>15</v>
      </c>
      <c r="I46" s="3">
        <v>152.30000000000001</v>
      </c>
      <c r="J46" s="4">
        <f t="shared" si="2"/>
        <v>0.15378787878787881</v>
      </c>
      <c r="M46" s="5" t="str">
        <f t="shared" si="3"/>
        <v>2022-23 Q1</v>
      </c>
    </row>
    <row r="47" spans="1:13" ht="15.75" customHeight="1" x14ac:dyDescent="0.2">
      <c r="A47" t="s">
        <v>12</v>
      </c>
      <c r="B47">
        <v>2022</v>
      </c>
      <c r="C47">
        <v>3</v>
      </c>
      <c r="D47" t="s">
        <v>24</v>
      </c>
      <c r="E47" t="s">
        <v>14</v>
      </c>
      <c r="F47" s="2">
        <v>167.7</v>
      </c>
      <c r="G47" s="2">
        <v>6.95</v>
      </c>
      <c r="H47" t="s">
        <v>15</v>
      </c>
      <c r="I47" s="3">
        <v>148.9</v>
      </c>
      <c r="J47" s="4">
        <f t="shared" si="2"/>
        <v>0.14626635873749039</v>
      </c>
      <c r="M47" s="5" t="str">
        <f t="shared" si="3"/>
        <v>2021-22 Q4</v>
      </c>
    </row>
    <row r="48" spans="1:13" ht="15.75" customHeight="1" x14ac:dyDescent="0.2">
      <c r="A48" t="s">
        <v>12</v>
      </c>
      <c r="B48">
        <v>2022</v>
      </c>
      <c r="C48">
        <v>2</v>
      </c>
      <c r="D48" t="s">
        <v>25</v>
      </c>
      <c r="E48" t="s">
        <v>14</v>
      </c>
      <c r="F48" s="2">
        <v>166.1</v>
      </c>
      <c r="G48" s="2">
        <v>6.07</v>
      </c>
      <c r="H48" t="s">
        <v>15</v>
      </c>
      <c r="I48" s="3">
        <v>145.30000000000001</v>
      </c>
      <c r="J48" s="4">
        <f t="shared" si="2"/>
        <v>0.13427010148321639</v>
      </c>
      <c r="M48" s="5" t="str">
        <f t="shared" si="3"/>
        <v>2021-22 Q4</v>
      </c>
    </row>
    <row r="49" spans="1:13" ht="15.75" customHeight="1" x14ac:dyDescent="0.2">
      <c r="A49" t="s">
        <v>12</v>
      </c>
      <c r="B49">
        <v>2022</v>
      </c>
      <c r="C49">
        <v>1</v>
      </c>
      <c r="D49" t="s">
        <v>26</v>
      </c>
      <c r="E49" t="s">
        <v>14</v>
      </c>
      <c r="F49" s="2">
        <v>165.7</v>
      </c>
      <c r="G49" s="2">
        <v>6.01</v>
      </c>
      <c r="H49" t="s">
        <v>15</v>
      </c>
      <c r="I49" s="3">
        <v>143.80000000000001</v>
      </c>
      <c r="J49" s="4">
        <f t="shared" si="2"/>
        <v>0.13675889328063251</v>
      </c>
      <c r="M49" s="5" t="str">
        <f t="shared" si="3"/>
        <v>2021-22 Q4</v>
      </c>
    </row>
    <row r="50" spans="1:13" ht="15.75" customHeight="1" x14ac:dyDescent="0.2">
      <c r="A50" t="s">
        <v>12</v>
      </c>
      <c r="B50">
        <v>2021</v>
      </c>
      <c r="C50">
        <v>12</v>
      </c>
      <c r="D50" t="s">
        <v>13</v>
      </c>
      <c r="E50" t="s">
        <v>14</v>
      </c>
      <c r="F50" s="2">
        <v>166.2</v>
      </c>
      <c r="G50" s="2">
        <v>5.66</v>
      </c>
      <c r="H50" t="s">
        <v>15</v>
      </c>
      <c r="I50" s="3">
        <v>143.30000000000001</v>
      </c>
      <c r="J50" s="4">
        <f t="shared" si="2"/>
        <v>0.14274322169059017</v>
      </c>
      <c r="M50" s="5" t="str">
        <f t="shared" si="3"/>
        <v>2021-22 Q3</v>
      </c>
    </row>
    <row r="51" spans="1:13" ht="15.75" customHeight="1" x14ac:dyDescent="0.2">
      <c r="A51" t="s">
        <v>12</v>
      </c>
      <c r="B51">
        <v>2021</v>
      </c>
      <c r="C51">
        <v>11</v>
      </c>
      <c r="D51" t="s">
        <v>16</v>
      </c>
      <c r="E51" t="s">
        <v>14</v>
      </c>
      <c r="F51" s="2">
        <v>166.7</v>
      </c>
      <c r="G51" s="2">
        <v>4.91</v>
      </c>
      <c r="H51" t="s">
        <v>15</v>
      </c>
      <c r="I51" s="3">
        <v>143.69999999999999</v>
      </c>
      <c r="J51" s="4">
        <f t="shared" si="2"/>
        <v>0.14868105515587526</v>
      </c>
      <c r="M51" s="5" t="str">
        <f t="shared" si="3"/>
        <v>2021-22 Q3</v>
      </c>
    </row>
    <row r="52" spans="1:13" ht="15.75" customHeight="1" x14ac:dyDescent="0.2">
      <c r="A52" t="s">
        <v>12</v>
      </c>
      <c r="B52">
        <v>2021</v>
      </c>
      <c r="C52">
        <v>10</v>
      </c>
      <c r="D52" t="s">
        <v>17</v>
      </c>
      <c r="E52" t="s">
        <v>14</v>
      </c>
      <c r="F52" s="2">
        <v>165.5</v>
      </c>
      <c r="G52" s="2">
        <v>4.4800000000000004</v>
      </c>
      <c r="H52" t="s">
        <v>15</v>
      </c>
      <c r="I52" s="3">
        <v>140.69999999999999</v>
      </c>
      <c r="J52" s="4">
        <f t="shared" si="2"/>
        <v>0.13834951456310685</v>
      </c>
      <c r="M52" s="5" t="str">
        <f t="shared" si="3"/>
        <v>2021-22 Q3</v>
      </c>
    </row>
    <row r="53" spans="1:13" ht="15.75" customHeight="1" x14ac:dyDescent="0.2">
      <c r="A53" t="s">
        <v>12</v>
      </c>
      <c r="B53">
        <v>2021</v>
      </c>
      <c r="C53">
        <v>9</v>
      </c>
      <c r="D53" t="s">
        <v>18</v>
      </c>
      <c r="E53" t="s">
        <v>14</v>
      </c>
      <c r="F53" s="2">
        <v>163.19999999999999</v>
      </c>
      <c r="G53" s="2">
        <v>4.3499999999999996</v>
      </c>
      <c r="H53" t="s">
        <v>15</v>
      </c>
      <c r="I53" s="3">
        <v>137.4</v>
      </c>
      <c r="J53" s="4">
        <f t="shared" si="2"/>
        <v>0.1179820992676972</v>
      </c>
      <c r="M53" s="5" t="str">
        <f t="shared" si="3"/>
        <v>2021-22 Q2</v>
      </c>
    </row>
    <row r="54" spans="1:13" ht="15.75" customHeight="1" x14ac:dyDescent="0.2">
      <c r="A54" t="s">
        <v>12</v>
      </c>
      <c r="B54">
        <v>2021</v>
      </c>
      <c r="C54">
        <v>8</v>
      </c>
      <c r="D54" t="s">
        <v>19</v>
      </c>
      <c r="E54" t="s">
        <v>14</v>
      </c>
      <c r="F54" s="2">
        <v>162.9</v>
      </c>
      <c r="G54" s="2">
        <v>5.3</v>
      </c>
      <c r="H54" t="s">
        <v>15</v>
      </c>
      <c r="I54" s="3">
        <v>136.19999999999999</v>
      </c>
      <c r="J54" s="4">
        <f t="shared" si="2"/>
        <v>0.1163934426229507</v>
      </c>
      <c r="M54" s="5" t="str">
        <f t="shared" si="3"/>
        <v>2021-22 Q2</v>
      </c>
    </row>
    <row r="55" spans="1:13" ht="15.75" customHeight="1" x14ac:dyDescent="0.2">
      <c r="A55" t="s">
        <v>12</v>
      </c>
      <c r="B55">
        <v>2021</v>
      </c>
      <c r="C55">
        <v>7</v>
      </c>
      <c r="D55" t="s">
        <v>20</v>
      </c>
      <c r="E55" t="s">
        <v>14</v>
      </c>
      <c r="F55" s="2">
        <v>162.5</v>
      </c>
      <c r="G55" s="2">
        <v>5.59</v>
      </c>
      <c r="H55" t="s">
        <v>15</v>
      </c>
      <c r="I55" s="3">
        <v>135</v>
      </c>
      <c r="J55" s="4">
        <f t="shared" si="2"/>
        <v>0.11570247933884303</v>
      </c>
      <c r="M55" s="5" t="str">
        <f t="shared" si="3"/>
        <v>2021-22 Q2</v>
      </c>
    </row>
    <row r="56" spans="1:13" ht="15.75" customHeight="1" x14ac:dyDescent="0.2">
      <c r="A56" t="s">
        <v>12</v>
      </c>
      <c r="B56">
        <v>2021</v>
      </c>
      <c r="C56">
        <v>6</v>
      </c>
      <c r="D56" t="s">
        <v>21</v>
      </c>
      <c r="E56" t="s">
        <v>14</v>
      </c>
      <c r="F56" s="2">
        <v>161.30000000000001</v>
      </c>
      <c r="G56" s="2">
        <v>6.26</v>
      </c>
      <c r="H56" t="s">
        <v>15</v>
      </c>
      <c r="I56" s="3">
        <v>133.69999999999999</v>
      </c>
      <c r="J56" s="4">
        <f t="shared" si="2"/>
        <v>0.12070410729253966</v>
      </c>
      <c r="M56" s="5" t="str">
        <f t="shared" si="3"/>
        <v>2021-22 Q1</v>
      </c>
    </row>
    <row r="57" spans="1:13" ht="15.75" customHeight="1" x14ac:dyDescent="0.2">
      <c r="A57" t="s">
        <v>12</v>
      </c>
      <c r="B57">
        <v>2021</v>
      </c>
      <c r="C57">
        <v>5</v>
      </c>
      <c r="D57" t="s">
        <v>22</v>
      </c>
      <c r="E57" t="s">
        <v>14</v>
      </c>
      <c r="F57" s="2">
        <v>160.4</v>
      </c>
      <c r="G57" s="2">
        <v>6.3</v>
      </c>
      <c r="H57" t="s">
        <v>15</v>
      </c>
      <c r="I57" s="3">
        <v>132.9</v>
      </c>
      <c r="J57" s="4">
        <f t="shared" si="2"/>
        <v>0.13106382978723419</v>
      </c>
      <c r="M57" s="5" t="str">
        <f t="shared" si="3"/>
        <v>2021-22 Q1</v>
      </c>
    </row>
    <row r="58" spans="1:13" ht="15.75" customHeight="1" x14ac:dyDescent="0.2">
      <c r="A58" t="s">
        <v>12</v>
      </c>
      <c r="B58">
        <v>2021</v>
      </c>
      <c r="C58">
        <v>4</v>
      </c>
      <c r="D58" t="s">
        <v>23</v>
      </c>
      <c r="E58" t="s">
        <v>14</v>
      </c>
      <c r="F58" s="2">
        <v>157.80000000000001</v>
      </c>
      <c r="G58" s="2">
        <v>4.2300000000000004</v>
      </c>
      <c r="H58" t="s">
        <v>15</v>
      </c>
      <c r="I58" s="3">
        <v>132</v>
      </c>
      <c r="J58" s="4">
        <f t="shared" si="2"/>
        <v>0.10738255033557054</v>
      </c>
      <c r="M58" s="5" t="str">
        <f t="shared" si="3"/>
        <v>2021-22 Q1</v>
      </c>
    </row>
    <row r="59" spans="1:13" ht="15.75" customHeight="1" x14ac:dyDescent="0.2">
      <c r="A59" t="s">
        <v>12</v>
      </c>
      <c r="B59">
        <v>2021</v>
      </c>
      <c r="C59">
        <v>3</v>
      </c>
      <c r="D59" t="s">
        <v>24</v>
      </c>
      <c r="E59" t="s">
        <v>14</v>
      </c>
      <c r="F59" s="2">
        <v>156.80000000000001</v>
      </c>
      <c r="G59" s="2">
        <v>5.52</v>
      </c>
      <c r="H59" t="s">
        <v>15</v>
      </c>
      <c r="I59" s="3">
        <v>129.9</v>
      </c>
      <c r="J59" s="4">
        <f t="shared" si="2"/>
        <v>7.8903654485049879E-2</v>
      </c>
      <c r="M59" s="5" t="str">
        <f t="shared" si="3"/>
        <v>2020-21 Q4</v>
      </c>
    </row>
    <row r="60" spans="1:13" ht="15.75" customHeight="1" x14ac:dyDescent="0.2">
      <c r="A60" t="s">
        <v>12</v>
      </c>
      <c r="B60">
        <v>2021</v>
      </c>
      <c r="C60">
        <v>2</v>
      </c>
      <c r="D60" t="s">
        <v>25</v>
      </c>
      <c r="E60" t="s">
        <v>14</v>
      </c>
      <c r="F60" s="2">
        <v>156.6</v>
      </c>
      <c r="G60" s="2">
        <v>5.03</v>
      </c>
      <c r="H60" t="s">
        <v>15</v>
      </c>
      <c r="I60" s="3">
        <v>128.1</v>
      </c>
      <c r="J60" s="4">
        <f t="shared" si="2"/>
        <v>4.8281505728314134E-2</v>
      </c>
      <c r="M60" s="5" t="str">
        <f t="shared" si="3"/>
        <v>2020-21 Q4</v>
      </c>
    </row>
    <row r="61" spans="1:13" ht="15.75" customHeight="1" x14ac:dyDescent="0.2">
      <c r="A61" t="s">
        <v>12</v>
      </c>
      <c r="B61">
        <v>2021</v>
      </c>
      <c r="C61">
        <v>1</v>
      </c>
      <c r="D61" t="s">
        <v>26</v>
      </c>
      <c r="E61" t="s">
        <v>14</v>
      </c>
      <c r="F61" s="2">
        <v>156.30000000000001</v>
      </c>
      <c r="G61" s="2">
        <v>4.0599999999999996</v>
      </c>
      <c r="H61" t="s">
        <v>15</v>
      </c>
      <c r="I61" s="3">
        <v>126.5</v>
      </c>
      <c r="J61" s="4">
        <f t="shared" si="2"/>
        <v>2.5121555915721183E-2</v>
      </c>
      <c r="M61" s="5" t="str">
        <f t="shared" si="3"/>
        <v>2020-21 Q4</v>
      </c>
    </row>
    <row r="62" spans="1:13" ht="15.75" customHeight="1" x14ac:dyDescent="0.2">
      <c r="A62" t="s">
        <v>12</v>
      </c>
      <c r="B62">
        <v>2020</v>
      </c>
      <c r="C62">
        <v>12</v>
      </c>
      <c r="D62" t="s">
        <v>13</v>
      </c>
      <c r="E62" t="s">
        <v>14</v>
      </c>
      <c r="F62" s="2">
        <v>157.30000000000001</v>
      </c>
      <c r="G62" s="2">
        <v>4.59</v>
      </c>
      <c r="H62" t="s">
        <v>15</v>
      </c>
      <c r="I62" s="3">
        <v>125.4</v>
      </c>
      <c r="J62" s="4">
        <f t="shared" si="2"/>
        <v>1.9512195121951237E-2</v>
      </c>
      <c r="M62" s="5" t="str">
        <f t="shared" si="3"/>
        <v>2020-21 Q3</v>
      </c>
    </row>
    <row r="63" spans="1:13" ht="15.75" customHeight="1" x14ac:dyDescent="0.2">
      <c r="A63" t="s">
        <v>12</v>
      </c>
      <c r="B63">
        <v>2020</v>
      </c>
      <c r="C63">
        <v>11</v>
      </c>
      <c r="D63" t="s">
        <v>16</v>
      </c>
      <c r="E63" t="s">
        <v>14</v>
      </c>
      <c r="F63" s="2">
        <v>158.9</v>
      </c>
      <c r="G63" s="2">
        <v>6.93</v>
      </c>
      <c r="H63" t="s">
        <v>15</v>
      </c>
      <c r="I63" s="3">
        <v>125.1</v>
      </c>
      <c r="J63" s="4">
        <f t="shared" si="2"/>
        <v>2.2894521668029411E-2</v>
      </c>
      <c r="M63" s="5" t="str">
        <f t="shared" si="3"/>
        <v>2020-21 Q3</v>
      </c>
    </row>
    <row r="64" spans="1:13" ht="15.75" customHeight="1" x14ac:dyDescent="0.2">
      <c r="A64" t="s">
        <v>12</v>
      </c>
      <c r="B64">
        <v>2020</v>
      </c>
      <c r="C64">
        <v>10</v>
      </c>
      <c r="D64" t="s">
        <v>17</v>
      </c>
      <c r="E64" t="s">
        <v>14</v>
      </c>
      <c r="F64" s="2">
        <v>158.4</v>
      </c>
      <c r="G64" s="2">
        <v>7.61</v>
      </c>
      <c r="H64" t="s">
        <v>15</v>
      </c>
      <c r="I64" s="3">
        <v>123.6</v>
      </c>
      <c r="J64" s="4">
        <f t="shared" si="2"/>
        <v>1.3114754098360715E-2</v>
      </c>
      <c r="M64" s="5" t="str">
        <f t="shared" si="3"/>
        <v>2020-21 Q3</v>
      </c>
    </row>
    <row r="65" spans="1:13" ht="15.75" customHeight="1" x14ac:dyDescent="0.2">
      <c r="A65" t="s">
        <v>12</v>
      </c>
      <c r="B65">
        <v>2020</v>
      </c>
      <c r="C65">
        <v>9</v>
      </c>
      <c r="D65" t="s">
        <v>18</v>
      </c>
      <c r="E65" t="s">
        <v>14</v>
      </c>
      <c r="F65" s="2">
        <v>156.4</v>
      </c>
      <c r="G65" s="2">
        <v>7.27</v>
      </c>
      <c r="H65" t="s">
        <v>15</v>
      </c>
      <c r="I65" s="3">
        <v>122.9</v>
      </c>
      <c r="J65" s="4">
        <f t="shared" si="2"/>
        <v>1.3190436933223415E-2</v>
      </c>
      <c r="M65" s="5" t="str">
        <f t="shared" si="3"/>
        <v>2020-21 Q2</v>
      </c>
    </row>
    <row r="66" spans="1:13" ht="15.75" customHeight="1" x14ac:dyDescent="0.2">
      <c r="A66" t="s">
        <v>12</v>
      </c>
      <c r="B66">
        <v>2020</v>
      </c>
      <c r="C66">
        <v>8</v>
      </c>
      <c r="D66" t="s">
        <v>19</v>
      </c>
      <c r="E66" t="s">
        <v>14</v>
      </c>
      <c r="F66" s="2">
        <v>154.69999999999999</v>
      </c>
      <c r="G66" s="2">
        <v>6.69</v>
      </c>
      <c r="H66" t="s">
        <v>15</v>
      </c>
      <c r="I66" s="3">
        <v>122</v>
      </c>
      <c r="J66" s="4">
        <f t="shared" ref="J66:J97" si="4">IFERROR(I66/I78-1,"")</f>
        <v>4.115226337448652E-3</v>
      </c>
      <c r="M66" s="5" t="str">
        <f t="shared" ref="M66:M97" si="5">IF(C66="","",(IF(C66&gt;=4,B66,B66-1))&amp;"-"&amp;TEXT(MOD(IF(C66&gt;=4,B66,B66-1)+1,100),"00")&amp;" Q"&amp;IF(C66&gt;=4,ROUNDUP((C66-3)/3,0),ROUNDUP((C66+9)/3,0)))</f>
        <v>2020-21 Q2</v>
      </c>
    </row>
    <row r="67" spans="1:13" ht="15.75" customHeight="1" x14ac:dyDescent="0.2">
      <c r="A67" t="s">
        <v>12</v>
      </c>
      <c r="B67">
        <v>2020</v>
      </c>
      <c r="C67">
        <v>7</v>
      </c>
      <c r="D67" t="s">
        <v>20</v>
      </c>
      <c r="E67" t="s">
        <v>14</v>
      </c>
      <c r="F67" s="2">
        <v>153.9</v>
      </c>
      <c r="G67" s="2">
        <v>6.73</v>
      </c>
      <c r="H67" t="s">
        <v>15</v>
      </c>
      <c r="I67" s="3">
        <v>121</v>
      </c>
      <c r="J67" s="4">
        <f t="shared" si="4"/>
        <v>-2.4732069249793209E-3</v>
      </c>
      <c r="M67" s="5" t="str">
        <f t="shared" si="5"/>
        <v>2020-21 Q2</v>
      </c>
    </row>
    <row r="68" spans="1:13" ht="15.75" customHeight="1" x14ac:dyDescent="0.2">
      <c r="A68" t="s">
        <v>12</v>
      </c>
      <c r="B68">
        <v>2020</v>
      </c>
      <c r="C68">
        <v>6</v>
      </c>
      <c r="D68" t="s">
        <v>21</v>
      </c>
      <c r="E68" t="s">
        <v>14</v>
      </c>
      <c r="F68" s="2">
        <v>151.80000000000001</v>
      </c>
      <c r="G68" s="2">
        <v>6.23</v>
      </c>
      <c r="H68" t="s">
        <v>15</v>
      </c>
      <c r="I68" s="3">
        <v>119.3</v>
      </c>
      <c r="J68" s="4">
        <f t="shared" si="4"/>
        <v>-1.8106995884773713E-2</v>
      </c>
      <c r="M68" s="5" t="str">
        <f t="shared" si="5"/>
        <v>2020-21 Q1</v>
      </c>
    </row>
    <row r="69" spans="1:13" ht="15.75" customHeight="1" x14ac:dyDescent="0.2">
      <c r="A69" t="s">
        <v>12</v>
      </c>
      <c r="B69">
        <v>2020</v>
      </c>
      <c r="C69">
        <v>5</v>
      </c>
      <c r="D69" t="s">
        <v>22</v>
      </c>
      <c r="E69" t="s">
        <v>14</v>
      </c>
      <c r="F69" s="2">
        <v>150.9</v>
      </c>
      <c r="G69" s="2"/>
      <c r="H69" t="s">
        <v>27</v>
      </c>
      <c r="I69" s="3">
        <v>117.5</v>
      </c>
      <c r="J69" s="4">
        <f t="shared" si="4"/>
        <v>-3.3717105263157854E-2</v>
      </c>
      <c r="M69" s="5" t="str">
        <f t="shared" si="5"/>
        <v>2020-21 Q1</v>
      </c>
    </row>
    <row r="70" spans="1:13" ht="15.75" customHeight="1" x14ac:dyDescent="0.2">
      <c r="A70" t="s">
        <v>12</v>
      </c>
      <c r="B70">
        <v>2020</v>
      </c>
      <c r="C70">
        <v>4</v>
      </c>
      <c r="D70" t="s">
        <v>23</v>
      </c>
      <c r="E70" t="s">
        <v>14</v>
      </c>
      <c r="F70" s="2">
        <v>151.4</v>
      </c>
      <c r="G70" s="2"/>
      <c r="H70" t="s">
        <v>27</v>
      </c>
      <c r="I70" s="3">
        <v>119.2</v>
      </c>
      <c r="J70" s="4">
        <f t="shared" si="4"/>
        <v>-1.5689512799339278E-2</v>
      </c>
      <c r="M70" s="5" t="str">
        <f t="shared" si="5"/>
        <v>2020-21 Q1</v>
      </c>
    </row>
    <row r="71" spans="1:13" ht="15.75" customHeight="1" x14ac:dyDescent="0.2">
      <c r="A71" t="s">
        <v>12</v>
      </c>
      <c r="B71">
        <v>2020</v>
      </c>
      <c r="C71">
        <v>3</v>
      </c>
      <c r="D71" t="s">
        <v>24</v>
      </c>
      <c r="E71" t="s">
        <v>14</v>
      </c>
      <c r="F71" s="2">
        <v>148.6</v>
      </c>
      <c r="G71" s="2">
        <v>5.84</v>
      </c>
      <c r="H71" t="s">
        <v>15</v>
      </c>
      <c r="I71" s="3">
        <v>120.4</v>
      </c>
      <c r="J71" s="4">
        <f t="shared" si="4"/>
        <v>4.17014178482078E-3</v>
      </c>
      <c r="M71" s="5" t="str">
        <f t="shared" si="5"/>
        <v>2019-20 Q4</v>
      </c>
    </row>
    <row r="72" spans="1:13" ht="15.75" customHeight="1" x14ac:dyDescent="0.2">
      <c r="A72" t="s">
        <v>12</v>
      </c>
      <c r="B72">
        <v>2020</v>
      </c>
      <c r="C72">
        <v>2</v>
      </c>
      <c r="D72" t="s">
        <v>25</v>
      </c>
      <c r="E72" t="s">
        <v>14</v>
      </c>
      <c r="F72" s="2">
        <v>149.1</v>
      </c>
      <c r="G72" s="2">
        <v>6.58</v>
      </c>
      <c r="H72" t="s">
        <v>15</v>
      </c>
      <c r="I72" s="3">
        <v>122.2</v>
      </c>
      <c r="J72" s="4">
        <f t="shared" si="4"/>
        <v>2.2594142259414252E-2</v>
      </c>
      <c r="M72" s="5" t="str">
        <f t="shared" si="5"/>
        <v>2019-20 Q4</v>
      </c>
    </row>
    <row r="73" spans="1:13" ht="15.75" customHeight="1" x14ac:dyDescent="0.2">
      <c r="A73" t="s">
        <v>12</v>
      </c>
      <c r="B73">
        <v>2020</v>
      </c>
      <c r="C73">
        <v>1</v>
      </c>
      <c r="D73" t="s">
        <v>26</v>
      </c>
      <c r="E73" t="s">
        <v>14</v>
      </c>
      <c r="F73" s="2">
        <v>150.19999999999999</v>
      </c>
      <c r="G73" s="2">
        <v>7.59</v>
      </c>
      <c r="H73" t="s">
        <v>15</v>
      </c>
      <c r="I73" s="3">
        <v>123.4</v>
      </c>
      <c r="J73" s="4">
        <f t="shared" si="4"/>
        <v>3.5234899328859148E-2</v>
      </c>
      <c r="M73" s="5" t="str">
        <f t="shared" si="5"/>
        <v>2019-20 Q4</v>
      </c>
    </row>
    <row r="74" spans="1:13" ht="15.75" customHeight="1" x14ac:dyDescent="0.2">
      <c r="A74" t="s">
        <v>12</v>
      </c>
      <c r="B74">
        <v>2019</v>
      </c>
      <c r="C74">
        <v>12</v>
      </c>
      <c r="D74" t="s">
        <v>13</v>
      </c>
      <c r="E74" t="s">
        <v>14</v>
      </c>
      <c r="F74" s="2">
        <v>150.4</v>
      </c>
      <c r="G74" s="2">
        <v>7.35</v>
      </c>
      <c r="H74" t="s">
        <v>15</v>
      </c>
      <c r="I74" s="3">
        <v>123</v>
      </c>
      <c r="J74" s="4">
        <f t="shared" si="4"/>
        <v>2.7568922305764465E-2</v>
      </c>
      <c r="M74" s="5" t="str">
        <f t="shared" si="5"/>
        <v>2019-20 Q3</v>
      </c>
    </row>
    <row r="75" spans="1:13" ht="15.75" customHeight="1" x14ac:dyDescent="0.2">
      <c r="A75" t="s">
        <v>12</v>
      </c>
      <c r="B75">
        <v>2019</v>
      </c>
      <c r="C75">
        <v>11</v>
      </c>
      <c r="D75" t="s">
        <v>16</v>
      </c>
      <c r="E75" t="s">
        <v>14</v>
      </c>
      <c r="F75" s="2">
        <v>148.6</v>
      </c>
      <c r="G75" s="2">
        <v>5.54</v>
      </c>
      <c r="H75" t="s">
        <v>15</v>
      </c>
      <c r="I75" s="3">
        <v>122.3</v>
      </c>
      <c r="J75" s="4">
        <f t="shared" si="4"/>
        <v>5.7565789473683626E-3</v>
      </c>
      <c r="M75" s="5" t="str">
        <f t="shared" si="5"/>
        <v>2019-20 Q3</v>
      </c>
    </row>
    <row r="76" spans="1:13" ht="15.75" customHeight="1" x14ac:dyDescent="0.2">
      <c r="A76" t="s">
        <v>12</v>
      </c>
      <c r="B76">
        <v>2019</v>
      </c>
      <c r="C76">
        <v>10</v>
      </c>
      <c r="D76" t="s">
        <v>17</v>
      </c>
      <c r="E76" t="s">
        <v>14</v>
      </c>
      <c r="F76" s="2">
        <v>147.19999999999999</v>
      </c>
      <c r="G76" s="2">
        <v>4.62</v>
      </c>
      <c r="H76" t="s">
        <v>15</v>
      </c>
      <c r="I76" s="3">
        <v>122</v>
      </c>
      <c r="J76" s="4">
        <f t="shared" si="4"/>
        <v>0</v>
      </c>
      <c r="M76" s="5" t="str">
        <f t="shared" si="5"/>
        <v>2019-20 Q3</v>
      </c>
    </row>
    <row r="77" spans="1:13" ht="15.75" customHeight="1" x14ac:dyDescent="0.2">
      <c r="A77" t="s">
        <v>12</v>
      </c>
      <c r="B77">
        <v>2019</v>
      </c>
      <c r="C77">
        <v>9</v>
      </c>
      <c r="D77" t="s">
        <v>18</v>
      </c>
      <c r="E77" t="s">
        <v>14</v>
      </c>
      <c r="F77" s="2">
        <v>145.80000000000001</v>
      </c>
      <c r="G77" s="2">
        <v>3.99</v>
      </c>
      <c r="H77" t="s">
        <v>15</v>
      </c>
      <c r="I77" s="3">
        <v>121.3</v>
      </c>
      <c r="J77" s="4">
        <f t="shared" si="4"/>
        <v>3.3085194375517268E-3</v>
      </c>
      <c r="M77" s="5" t="str">
        <f t="shared" si="5"/>
        <v>2019-20 Q2</v>
      </c>
    </row>
    <row r="78" spans="1:13" ht="15.75" customHeight="1" x14ac:dyDescent="0.2">
      <c r="A78" t="s">
        <v>12</v>
      </c>
      <c r="B78">
        <v>2019</v>
      </c>
      <c r="C78">
        <v>8</v>
      </c>
      <c r="D78" t="s">
        <v>19</v>
      </c>
      <c r="E78" t="s">
        <v>14</v>
      </c>
      <c r="F78" s="2">
        <v>145</v>
      </c>
      <c r="G78" s="2">
        <v>3.28</v>
      </c>
      <c r="H78" t="s">
        <v>15</v>
      </c>
      <c r="I78" s="3">
        <v>121.5</v>
      </c>
      <c r="J78" s="4">
        <f t="shared" si="4"/>
        <v>1.1656952539550458E-2</v>
      </c>
      <c r="M78" s="5" t="str">
        <f t="shared" si="5"/>
        <v>2019-20 Q2</v>
      </c>
    </row>
    <row r="79" spans="1:13" ht="15.75" customHeight="1" x14ac:dyDescent="0.2">
      <c r="A79" t="s">
        <v>12</v>
      </c>
      <c r="B79">
        <v>2019</v>
      </c>
      <c r="C79">
        <v>7</v>
      </c>
      <c r="D79" t="s">
        <v>20</v>
      </c>
      <c r="E79" t="s">
        <v>14</v>
      </c>
      <c r="F79" s="2">
        <v>144.19999999999999</v>
      </c>
      <c r="G79" s="2">
        <v>3.15</v>
      </c>
      <c r="H79" t="s">
        <v>15</v>
      </c>
      <c r="I79" s="3">
        <v>121.3</v>
      </c>
      <c r="J79" s="4">
        <f t="shared" si="4"/>
        <v>1.1676396997497784E-2</v>
      </c>
      <c r="M79" s="5" t="str">
        <f t="shared" si="5"/>
        <v>2019-20 Q2</v>
      </c>
    </row>
    <row r="80" spans="1:13" ht="15.75" customHeight="1" x14ac:dyDescent="0.2">
      <c r="A80" t="s">
        <v>12</v>
      </c>
      <c r="B80">
        <v>2019</v>
      </c>
      <c r="C80">
        <v>6</v>
      </c>
      <c r="D80" t="s">
        <v>21</v>
      </c>
      <c r="E80" t="s">
        <v>14</v>
      </c>
      <c r="F80" s="2">
        <v>142.9</v>
      </c>
      <c r="G80" s="2">
        <v>3.18</v>
      </c>
      <c r="H80" t="s">
        <v>15</v>
      </c>
      <c r="I80" s="3">
        <v>121.5</v>
      </c>
      <c r="J80" s="4">
        <f t="shared" si="4"/>
        <v>2.0151133501259411E-2</v>
      </c>
      <c r="M80" s="5" t="str">
        <f t="shared" si="5"/>
        <v>2019-20 Q1</v>
      </c>
    </row>
    <row r="81" spans="1:13" ht="15.75" customHeight="1" x14ac:dyDescent="0.2">
      <c r="A81" t="s">
        <v>12</v>
      </c>
      <c r="B81">
        <v>2019</v>
      </c>
      <c r="C81">
        <v>5</v>
      </c>
      <c r="D81" t="s">
        <v>22</v>
      </c>
      <c r="E81" t="s">
        <v>14</v>
      </c>
      <c r="F81" s="2">
        <v>142</v>
      </c>
      <c r="G81" s="2">
        <v>3.05</v>
      </c>
      <c r="H81" t="s">
        <v>15</v>
      </c>
      <c r="I81" s="3">
        <v>121.6</v>
      </c>
      <c r="J81" s="4">
        <f t="shared" si="4"/>
        <v>2.789518174133554E-2</v>
      </c>
      <c r="M81" s="5" t="str">
        <f t="shared" si="5"/>
        <v>2019-20 Q1</v>
      </c>
    </row>
    <row r="82" spans="1:13" ht="15.75" customHeight="1" x14ac:dyDescent="0.2">
      <c r="A82" t="s">
        <v>12</v>
      </c>
      <c r="B82">
        <v>2019</v>
      </c>
      <c r="C82">
        <v>4</v>
      </c>
      <c r="D82" t="s">
        <v>23</v>
      </c>
      <c r="E82" t="s">
        <v>14</v>
      </c>
      <c r="F82" s="2">
        <v>141.19999999999999</v>
      </c>
      <c r="G82" s="2">
        <v>2.99</v>
      </c>
      <c r="H82" t="s">
        <v>15</v>
      </c>
      <c r="I82" s="3">
        <v>121.1</v>
      </c>
      <c r="J82" s="4">
        <f t="shared" si="4"/>
        <v>3.2395566922421182E-2</v>
      </c>
      <c r="M82" s="5" t="str">
        <f t="shared" si="5"/>
        <v>2019-20 Q1</v>
      </c>
    </row>
    <row r="83" spans="1:13" ht="15.75" customHeight="1" x14ac:dyDescent="0.2">
      <c r="A83" t="s">
        <v>12</v>
      </c>
      <c r="B83">
        <v>2019</v>
      </c>
      <c r="C83">
        <v>3</v>
      </c>
      <c r="D83" t="s">
        <v>24</v>
      </c>
      <c r="E83" t="s">
        <v>14</v>
      </c>
      <c r="F83" s="2">
        <v>140.4</v>
      </c>
      <c r="G83" s="2">
        <v>2.86</v>
      </c>
      <c r="H83" t="s">
        <v>15</v>
      </c>
      <c r="I83" s="3">
        <v>119.9</v>
      </c>
      <c r="J83" s="4">
        <f t="shared" si="4"/>
        <v>3.095442820292349E-2</v>
      </c>
      <c r="M83" s="5" t="str">
        <f t="shared" si="5"/>
        <v>2018-19 Q4</v>
      </c>
    </row>
    <row r="84" spans="1:13" ht="15.75" customHeight="1" x14ac:dyDescent="0.2">
      <c r="A84" t="s">
        <v>12</v>
      </c>
      <c r="B84">
        <v>2019</v>
      </c>
      <c r="C84">
        <v>2</v>
      </c>
      <c r="D84" t="s">
        <v>25</v>
      </c>
      <c r="E84" t="s">
        <v>14</v>
      </c>
      <c r="F84" s="2">
        <v>139.9</v>
      </c>
      <c r="G84" s="2">
        <v>2.57</v>
      </c>
      <c r="H84" t="s">
        <v>15</v>
      </c>
      <c r="I84" s="3">
        <v>119.5</v>
      </c>
      <c r="J84" s="4">
        <f t="shared" si="4"/>
        <v>2.9285099052541064E-2</v>
      </c>
      <c r="M84" s="5" t="str">
        <f t="shared" si="5"/>
        <v>2018-19 Q4</v>
      </c>
    </row>
    <row r="85" spans="1:13" ht="15.75" customHeight="1" x14ac:dyDescent="0.2">
      <c r="A85" t="s">
        <v>12</v>
      </c>
      <c r="B85">
        <v>2019</v>
      </c>
      <c r="C85">
        <v>1</v>
      </c>
      <c r="D85" t="s">
        <v>26</v>
      </c>
      <c r="E85" t="s">
        <v>14</v>
      </c>
      <c r="F85" s="2">
        <v>139.6</v>
      </c>
      <c r="G85" s="2">
        <v>1.97</v>
      </c>
      <c r="H85" t="s">
        <v>15</v>
      </c>
      <c r="I85" s="3">
        <v>119.2</v>
      </c>
      <c r="J85" s="4">
        <f t="shared" si="4"/>
        <v>2.7586206896551779E-2</v>
      </c>
      <c r="M85" s="5" t="str">
        <f t="shared" si="5"/>
        <v>2018-19 Q4</v>
      </c>
    </row>
    <row r="86" spans="1:13" ht="15.75" customHeight="1" x14ac:dyDescent="0.2">
      <c r="A86" t="s">
        <v>12</v>
      </c>
      <c r="B86">
        <v>2018</v>
      </c>
      <c r="C86">
        <v>12</v>
      </c>
      <c r="D86" t="s">
        <v>13</v>
      </c>
      <c r="E86" t="s">
        <v>14</v>
      </c>
      <c r="F86" s="2">
        <v>140.1</v>
      </c>
      <c r="G86" s="2">
        <v>2.11</v>
      </c>
      <c r="H86" t="s">
        <v>15</v>
      </c>
      <c r="I86" s="3">
        <v>119.7</v>
      </c>
      <c r="J86" s="4">
        <f t="shared" si="4"/>
        <v>3.457216940363006E-2</v>
      </c>
      <c r="M86" s="5" t="str">
        <f t="shared" si="5"/>
        <v>2018-19 Q3</v>
      </c>
    </row>
    <row r="87" spans="1:13" ht="15.75" customHeight="1" x14ac:dyDescent="0.2">
      <c r="A87" t="s">
        <v>12</v>
      </c>
      <c r="B87">
        <v>2018</v>
      </c>
      <c r="C87">
        <v>11</v>
      </c>
      <c r="D87" t="s">
        <v>16</v>
      </c>
      <c r="E87" t="s">
        <v>14</v>
      </c>
      <c r="F87" s="2">
        <v>140.80000000000001</v>
      </c>
      <c r="G87" s="2">
        <v>2.33</v>
      </c>
      <c r="H87" t="s">
        <v>15</v>
      </c>
      <c r="I87" s="3">
        <v>121.6</v>
      </c>
      <c r="J87" s="4">
        <f t="shared" si="4"/>
        <v>4.4673539518900185E-2</v>
      </c>
      <c r="M87" s="5" t="str">
        <f t="shared" si="5"/>
        <v>2018-19 Q3</v>
      </c>
    </row>
    <row r="88" spans="1:13" ht="15.75" customHeight="1" x14ac:dyDescent="0.2">
      <c r="A88" t="s">
        <v>12</v>
      </c>
      <c r="B88">
        <v>2018</v>
      </c>
      <c r="C88">
        <v>10</v>
      </c>
      <c r="D88" t="s">
        <v>17</v>
      </c>
      <c r="E88" t="s">
        <v>14</v>
      </c>
      <c r="F88" s="2">
        <v>140.69999999999999</v>
      </c>
      <c r="G88" s="2">
        <v>3.38</v>
      </c>
      <c r="H88" t="s">
        <v>15</v>
      </c>
      <c r="I88" s="3">
        <v>122</v>
      </c>
      <c r="J88" s="4">
        <f t="shared" si="4"/>
        <v>5.5363321799307919E-2</v>
      </c>
      <c r="M88" s="5" t="str">
        <f t="shared" si="5"/>
        <v>2018-19 Q3</v>
      </c>
    </row>
    <row r="89" spans="1:13" ht="15.75" customHeight="1" x14ac:dyDescent="0.2">
      <c r="A89" t="s">
        <v>12</v>
      </c>
      <c r="B89">
        <v>2018</v>
      </c>
      <c r="C89">
        <v>9</v>
      </c>
      <c r="D89" t="s">
        <v>18</v>
      </c>
      <c r="E89" t="s">
        <v>14</v>
      </c>
      <c r="F89" s="2">
        <v>140.19999999999999</v>
      </c>
      <c r="G89" s="2">
        <v>3.7</v>
      </c>
      <c r="H89" t="s">
        <v>15</v>
      </c>
      <c r="I89" s="3">
        <v>120.9</v>
      </c>
      <c r="J89" s="4">
        <f t="shared" si="4"/>
        <v>5.2219321148825104E-2</v>
      </c>
      <c r="M89" s="5" t="str">
        <f t="shared" si="5"/>
        <v>2018-19 Q2</v>
      </c>
    </row>
    <row r="90" spans="1:13" ht="15.75" customHeight="1" x14ac:dyDescent="0.2">
      <c r="A90" t="s">
        <v>12</v>
      </c>
      <c r="B90">
        <v>2018</v>
      </c>
      <c r="C90">
        <v>8</v>
      </c>
      <c r="D90" t="s">
        <v>19</v>
      </c>
      <c r="E90" t="s">
        <v>14</v>
      </c>
      <c r="F90" s="2">
        <v>140.4</v>
      </c>
      <c r="G90" s="2">
        <v>3.69</v>
      </c>
      <c r="H90" t="s">
        <v>15</v>
      </c>
      <c r="I90" s="3">
        <v>120.1</v>
      </c>
      <c r="J90" s="4">
        <f t="shared" si="4"/>
        <v>4.6167247386759591E-2</v>
      </c>
      <c r="M90" s="5" t="str">
        <f t="shared" si="5"/>
        <v>2018-19 Q2</v>
      </c>
    </row>
    <row r="91" spans="1:13" ht="15.75" customHeight="1" x14ac:dyDescent="0.2">
      <c r="A91" t="s">
        <v>12</v>
      </c>
      <c r="B91">
        <v>2018</v>
      </c>
      <c r="C91">
        <v>7</v>
      </c>
      <c r="D91" t="s">
        <v>20</v>
      </c>
      <c r="E91" t="s">
        <v>14</v>
      </c>
      <c r="F91" s="2">
        <v>139.80000000000001</v>
      </c>
      <c r="G91" s="2">
        <v>4.17</v>
      </c>
      <c r="H91" t="s">
        <v>15</v>
      </c>
      <c r="I91" s="3">
        <v>119.9</v>
      </c>
      <c r="J91" s="4">
        <f t="shared" si="4"/>
        <v>5.2677787532923626E-2</v>
      </c>
      <c r="M91" s="5" t="str">
        <f t="shared" si="5"/>
        <v>2018-19 Q2</v>
      </c>
    </row>
    <row r="92" spans="1:13" ht="15.75" customHeight="1" x14ac:dyDescent="0.2">
      <c r="A92" t="s">
        <v>12</v>
      </c>
      <c r="B92">
        <v>2018</v>
      </c>
      <c r="C92">
        <v>6</v>
      </c>
      <c r="D92" t="s">
        <v>21</v>
      </c>
      <c r="E92" t="s">
        <v>14</v>
      </c>
      <c r="F92" s="2">
        <v>138.5</v>
      </c>
      <c r="G92" s="2">
        <v>4.92</v>
      </c>
      <c r="H92" t="s">
        <v>15</v>
      </c>
      <c r="I92" s="3">
        <v>119.1</v>
      </c>
      <c r="J92" s="4">
        <f t="shared" si="4"/>
        <v>5.6787932564329902E-2</v>
      </c>
      <c r="M92" s="5" t="str">
        <f t="shared" si="5"/>
        <v>2018-19 Q1</v>
      </c>
    </row>
    <row r="93" spans="1:13" ht="15.75" customHeight="1" x14ac:dyDescent="0.2">
      <c r="A93" t="s">
        <v>12</v>
      </c>
      <c r="B93">
        <v>2018</v>
      </c>
      <c r="C93">
        <v>5</v>
      </c>
      <c r="D93" t="s">
        <v>22</v>
      </c>
      <c r="E93" t="s">
        <v>14</v>
      </c>
      <c r="F93" s="2">
        <v>137.80000000000001</v>
      </c>
      <c r="G93" s="2">
        <v>4.87</v>
      </c>
      <c r="H93" t="s">
        <v>15</v>
      </c>
      <c r="I93" s="3">
        <v>118.3</v>
      </c>
      <c r="J93" s="4">
        <f t="shared" si="4"/>
        <v>4.7829937998228544E-2</v>
      </c>
      <c r="M93" s="5" t="str">
        <f t="shared" si="5"/>
        <v>2018-19 Q1</v>
      </c>
    </row>
    <row r="94" spans="1:13" ht="15.75" customHeight="1" x14ac:dyDescent="0.2">
      <c r="A94" t="s">
        <v>12</v>
      </c>
      <c r="B94">
        <v>2018</v>
      </c>
      <c r="C94">
        <v>4</v>
      </c>
      <c r="D94" t="s">
        <v>23</v>
      </c>
      <c r="E94" t="s">
        <v>14</v>
      </c>
      <c r="F94" s="2">
        <v>137.1</v>
      </c>
      <c r="G94" s="2">
        <v>4.58</v>
      </c>
      <c r="H94" t="s">
        <v>15</v>
      </c>
      <c r="I94" s="3">
        <v>117.3</v>
      </c>
      <c r="J94" s="4">
        <f t="shared" si="4"/>
        <v>3.6219081272084841E-2</v>
      </c>
      <c r="M94" s="5" t="str">
        <f t="shared" si="5"/>
        <v>2018-19 Q1</v>
      </c>
    </row>
    <row r="95" spans="1:13" ht="15.75" customHeight="1" x14ac:dyDescent="0.2">
      <c r="A95" t="s">
        <v>12</v>
      </c>
      <c r="B95">
        <v>2018</v>
      </c>
      <c r="C95">
        <v>3</v>
      </c>
      <c r="D95" t="s">
        <v>24</v>
      </c>
      <c r="E95" t="s">
        <v>14</v>
      </c>
      <c r="F95" s="2">
        <v>136.5</v>
      </c>
      <c r="G95" s="2">
        <v>4.28</v>
      </c>
      <c r="H95" t="s">
        <v>15</v>
      </c>
      <c r="I95" s="3">
        <v>116.3</v>
      </c>
      <c r="J95" s="4">
        <f t="shared" si="4"/>
        <v>2.7385159010600679E-2</v>
      </c>
      <c r="M95" s="5" t="str">
        <f t="shared" si="5"/>
        <v>2017-18 Q4</v>
      </c>
    </row>
    <row r="96" spans="1:13" ht="15.75" customHeight="1" x14ac:dyDescent="0.2">
      <c r="A96" t="s">
        <v>12</v>
      </c>
      <c r="B96">
        <v>2018</v>
      </c>
      <c r="C96">
        <v>2</v>
      </c>
      <c r="D96" t="s">
        <v>25</v>
      </c>
      <c r="E96" t="s">
        <v>14</v>
      </c>
      <c r="F96" s="2">
        <v>136.4</v>
      </c>
      <c r="G96" s="2">
        <v>4.4400000000000004</v>
      </c>
      <c r="H96" t="s">
        <v>15</v>
      </c>
      <c r="I96" s="3">
        <v>116.1</v>
      </c>
      <c r="J96" s="4">
        <f t="shared" si="4"/>
        <v>2.7433628318584091E-2</v>
      </c>
      <c r="M96" s="5" t="str">
        <f t="shared" si="5"/>
        <v>2017-18 Q4</v>
      </c>
    </row>
    <row r="97" spans="1:13" ht="15.75" customHeight="1" x14ac:dyDescent="0.2">
      <c r="A97" t="s">
        <v>12</v>
      </c>
      <c r="B97">
        <v>2018</v>
      </c>
      <c r="C97">
        <v>1</v>
      </c>
      <c r="D97" t="s">
        <v>26</v>
      </c>
      <c r="E97" t="s">
        <v>14</v>
      </c>
      <c r="F97" s="2">
        <v>136.9</v>
      </c>
      <c r="G97" s="2">
        <v>5.07</v>
      </c>
      <c r="H97" t="s">
        <v>15</v>
      </c>
      <c r="I97" s="3">
        <v>116</v>
      </c>
      <c r="J97" s="4">
        <f t="shared" si="4"/>
        <v>3.0195381882770933E-2</v>
      </c>
      <c r="M97" s="5" t="str">
        <f t="shared" si="5"/>
        <v>2017-18 Q4</v>
      </c>
    </row>
    <row r="98" spans="1:13" ht="15.75" customHeight="1" x14ac:dyDescent="0.2">
      <c r="A98" t="s">
        <v>12</v>
      </c>
      <c r="B98">
        <v>2017</v>
      </c>
      <c r="C98">
        <v>12</v>
      </c>
      <c r="D98" t="s">
        <v>13</v>
      </c>
      <c r="E98" t="s">
        <v>14</v>
      </c>
      <c r="F98" s="2">
        <v>137.19999999999999</v>
      </c>
      <c r="G98" s="2">
        <v>5.21</v>
      </c>
      <c r="H98" t="s">
        <v>15</v>
      </c>
      <c r="I98" s="3">
        <v>115.7</v>
      </c>
      <c r="J98" s="4">
        <f t="shared" ref="J98:J129" si="6">IFERROR(I98/I110-1,"")</f>
        <v>3.5810205908684001E-2</v>
      </c>
      <c r="M98" s="5" t="str">
        <f t="shared" ref="M98:M129" si="7">IF(C98="","",(IF(C98&gt;=4,B98,B98-1))&amp;"-"&amp;TEXT(MOD(IF(C98&gt;=4,B98,B98-1)+1,100),"00")&amp;" Q"&amp;IF(C98&gt;=4,ROUNDUP((C98-3)/3,0),ROUNDUP((C98+9)/3,0)))</f>
        <v>2017-18 Q3</v>
      </c>
    </row>
    <row r="99" spans="1:13" ht="15.75" customHeight="1" x14ac:dyDescent="0.2">
      <c r="A99" t="s">
        <v>12</v>
      </c>
      <c r="B99">
        <v>2017</v>
      </c>
      <c r="C99">
        <v>11</v>
      </c>
      <c r="D99" t="s">
        <v>16</v>
      </c>
      <c r="E99" t="s">
        <v>14</v>
      </c>
      <c r="F99" s="2">
        <v>137.6</v>
      </c>
      <c r="G99" s="2">
        <v>4.88</v>
      </c>
      <c r="H99" t="s">
        <v>15</v>
      </c>
      <c r="I99" s="3">
        <v>116.4</v>
      </c>
      <c r="J99" s="4">
        <f t="shared" si="6"/>
        <v>4.0214477211796273E-2</v>
      </c>
      <c r="M99" s="5" t="str">
        <f t="shared" si="7"/>
        <v>2017-18 Q3</v>
      </c>
    </row>
    <row r="100" spans="1:13" ht="15.75" customHeight="1" x14ac:dyDescent="0.2">
      <c r="A100" t="s">
        <v>12</v>
      </c>
      <c r="B100">
        <v>2017</v>
      </c>
      <c r="C100">
        <v>10</v>
      </c>
      <c r="D100" t="s">
        <v>17</v>
      </c>
      <c r="E100" t="s">
        <v>14</v>
      </c>
      <c r="F100" s="2">
        <v>136.1</v>
      </c>
      <c r="G100" s="2">
        <v>3.58</v>
      </c>
      <c r="H100" t="s">
        <v>15</v>
      </c>
      <c r="I100" s="3">
        <v>115.6</v>
      </c>
      <c r="J100" s="4">
        <f t="shared" si="6"/>
        <v>3.6771300448430466E-2</v>
      </c>
      <c r="M100" s="5" t="str">
        <f t="shared" si="7"/>
        <v>2017-18 Q3</v>
      </c>
    </row>
    <row r="101" spans="1:13" ht="15.75" customHeight="1" x14ac:dyDescent="0.2">
      <c r="A101" t="s">
        <v>12</v>
      </c>
      <c r="B101">
        <v>2017</v>
      </c>
      <c r="C101">
        <v>9</v>
      </c>
      <c r="D101" t="s">
        <v>18</v>
      </c>
      <c r="E101" t="s">
        <v>14</v>
      </c>
      <c r="F101" s="2">
        <v>135.19999999999999</v>
      </c>
      <c r="G101" s="2">
        <v>3.28</v>
      </c>
      <c r="H101" t="s">
        <v>15</v>
      </c>
      <c r="I101" s="3">
        <v>114.9</v>
      </c>
      <c r="J101" s="4">
        <f t="shared" si="6"/>
        <v>3.1418312387791802E-2</v>
      </c>
      <c r="M101" s="5" t="str">
        <f t="shared" si="7"/>
        <v>2017-18 Q2</v>
      </c>
    </row>
    <row r="102" spans="1:13" ht="15.75" customHeight="1" x14ac:dyDescent="0.2">
      <c r="A102" t="s">
        <v>12</v>
      </c>
      <c r="B102">
        <v>2017</v>
      </c>
      <c r="C102">
        <v>8</v>
      </c>
      <c r="D102" t="s">
        <v>19</v>
      </c>
      <c r="E102" t="s">
        <v>14</v>
      </c>
      <c r="F102" s="2">
        <v>135.4</v>
      </c>
      <c r="G102" s="2">
        <v>3.28</v>
      </c>
      <c r="H102" t="s">
        <v>15</v>
      </c>
      <c r="I102" s="3">
        <v>114.8</v>
      </c>
      <c r="J102" s="4">
        <f t="shared" si="6"/>
        <v>3.2374100719424481E-2</v>
      </c>
      <c r="M102" s="5" t="str">
        <f t="shared" si="7"/>
        <v>2017-18 Q2</v>
      </c>
    </row>
    <row r="103" spans="1:13" ht="15.75" customHeight="1" x14ac:dyDescent="0.2">
      <c r="A103" t="s">
        <v>12</v>
      </c>
      <c r="B103">
        <v>2017</v>
      </c>
      <c r="C103">
        <v>7</v>
      </c>
      <c r="D103" t="s">
        <v>20</v>
      </c>
      <c r="E103" t="s">
        <v>14</v>
      </c>
      <c r="F103" s="2">
        <v>134.19999999999999</v>
      </c>
      <c r="G103" s="2">
        <v>2.36</v>
      </c>
      <c r="H103" t="s">
        <v>15</v>
      </c>
      <c r="I103" s="3">
        <v>113.9</v>
      </c>
      <c r="J103" s="4">
        <f t="shared" si="6"/>
        <v>1.878354203935606E-2</v>
      </c>
      <c r="M103" s="5" t="str">
        <f t="shared" si="7"/>
        <v>2017-18 Q2</v>
      </c>
    </row>
    <row r="104" spans="1:13" ht="15.75" customHeight="1" x14ac:dyDescent="0.2">
      <c r="A104" t="s">
        <v>12</v>
      </c>
      <c r="B104">
        <v>2017</v>
      </c>
      <c r="C104">
        <v>6</v>
      </c>
      <c r="D104" t="s">
        <v>21</v>
      </c>
      <c r="E104" t="s">
        <v>14</v>
      </c>
      <c r="F104" s="2">
        <v>132</v>
      </c>
      <c r="G104" s="2">
        <v>1.46</v>
      </c>
      <c r="H104" t="s">
        <v>15</v>
      </c>
      <c r="I104" s="3">
        <v>112.7</v>
      </c>
      <c r="J104" s="4">
        <f t="shared" si="6"/>
        <v>8.9525514771708892E-3</v>
      </c>
      <c r="M104" s="5" t="str">
        <f t="shared" si="7"/>
        <v>2017-18 Q1</v>
      </c>
    </row>
    <row r="105" spans="1:13" ht="15.75" customHeight="1" x14ac:dyDescent="0.2">
      <c r="A105" t="s">
        <v>12</v>
      </c>
      <c r="B105">
        <v>2017</v>
      </c>
      <c r="C105">
        <v>5</v>
      </c>
      <c r="D105" t="s">
        <v>22</v>
      </c>
      <c r="E105" t="s">
        <v>14</v>
      </c>
      <c r="F105" s="2">
        <v>131.4</v>
      </c>
      <c r="G105" s="2">
        <v>2.1800000000000002</v>
      </c>
      <c r="H105" t="s">
        <v>15</v>
      </c>
      <c r="I105" s="3">
        <v>112.9</v>
      </c>
      <c r="J105" s="4">
        <f t="shared" si="6"/>
        <v>2.2644927536231929E-2</v>
      </c>
      <c r="M105" s="5" t="str">
        <f t="shared" si="7"/>
        <v>2017-18 Q1</v>
      </c>
    </row>
    <row r="106" spans="1:13" ht="15.75" customHeight="1" x14ac:dyDescent="0.2">
      <c r="A106" t="s">
        <v>12</v>
      </c>
      <c r="B106">
        <v>2017</v>
      </c>
      <c r="C106">
        <v>4</v>
      </c>
      <c r="D106" t="s">
        <v>23</v>
      </c>
      <c r="E106" t="s">
        <v>14</v>
      </c>
      <c r="F106" s="2">
        <v>131.1</v>
      </c>
      <c r="G106" s="2">
        <v>2.99</v>
      </c>
      <c r="H106" t="s">
        <v>15</v>
      </c>
      <c r="I106" s="3">
        <v>113.2</v>
      </c>
      <c r="J106" s="4">
        <f t="shared" si="6"/>
        <v>3.8532110091743066E-2</v>
      </c>
      <c r="M106" s="5" t="str">
        <f t="shared" si="7"/>
        <v>2017-18 Q1</v>
      </c>
    </row>
    <row r="107" spans="1:13" ht="15.75" customHeight="1" x14ac:dyDescent="0.2">
      <c r="A107" t="s">
        <v>12</v>
      </c>
      <c r="B107">
        <v>2017</v>
      </c>
      <c r="C107">
        <v>3</v>
      </c>
      <c r="D107" t="s">
        <v>24</v>
      </c>
      <c r="E107" t="s">
        <v>14</v>
      </c>
      <c r="F107" s="2">
        <v>130.9</v>
      </c>
      <c r="G107" s="2">
        <v>3.89</v>
      </c>
      <c r="H107" t="s">
        <v>15</v>
      </c>
      <c r="I107" s="3">
        <v>113.2</v>
      </c>
      <c r="J107" s="4">
        <f t="shared" si="6"/>
        <v>5.1067780872794843E-2</v>
      </c>
      <c r="M107" s="5" t="str">
        <f t="shared" si="7"/>
        <v>2016-17 Q4</v>
      </c>
    </row>
    <row r="108" spans="1:13" ht="15.75" customHeight="1" x14ac:dyDescent="0.2">
      <c r="A108" t="s">
        <v>12</v>
      </c>
      <c r="B108">
        <v>2017</v>
      </c>
      <c r="C108">
        <v>2</v>
      </c>
      <c r="D108" t="s">
        <v>25</v>
      </c>
      <c r="E108" t="s">
        <v>14</v>
      </c>
      <c r="F108" s="2">
        <v>130.6</v>
      </c>
      <c r="G108" s="2">
        <v>3.65</v>
      </c>
      <c r="H108" t="s">
        <v>15</v>
      </c>
      <c r="I108" s="3">
        <v>113</v>
      </c>
      <c r="J108" s="4">
        <f t="shared" si="6"/>
        <v>5.5088702147525703E-2</v>
      </c>
      <c r="M108" s="5" t="str">
        <f t="shared" si="7"/>
        <v>2016-17 Q4</v>
      </c>
    </row>
    <row r="109" spans="1:13" ht="15.75" customHeight="1" x14ac:dyDescent="0.2">
      <c r="A109" t="s">
        <v>12</v>
      </c>
      <c r="B109">
        <v>2017</v>
      </c>
      <c r="C109">
        <v>1</v>
      </c>
      <c r="D109" t="s">
        <v>26</v>
      </c>
      <c r="E109" t="s">
        <v>14</v>
      </c>
      <c r="F109" s="2">
        <v>130.30000000000001</v>
      </c>
      <c r="G109" s="2">
        <v>3.17</v>
      </c>
      <c r="H109" t="s">
        <v>15</v>
      </c>
      <c r="I109" s="3">
        <v>112.6</v>
      </c>
      <c r="J109" s="4">
        <f t="shared" si="6"/>
        <v>4.2592592592592515E-2</v>
      </c>
      <c r="M109" s="5" t="str">
        <f t="shared" si="7"/>
        <v>2016-17 Q4</v>
      </c>
    </row>
    <row r="110" spans="1:13" ht="15.75" customHeight="1" x14ac:dyDescent="0.2">
      <c r="A110" t="s">
        <v>12</v>
      </c>
      <c r="B110">
        <v>2016</v>
      </c>
      <c r="C110">
        <v>12</v>
      </c>
      <c r="D110" t="s">
        <v>13</v>
      </c>
      <c r="E110" t="s">
        <v>14</v>
      </c>
      <c r="F110" s="2">
        <v>130.4</v>
      </c>
      <c r="G110" s="2">
        <v>3.41</v>
      </c>
      <c r="H110" t="s">
        <v>15</v>
      </c>
      <c r="I110" s="3">
        <v>111.7</v>
      </c>
      <c r="J110" s="4">
        <f t="shared" si="6"/>
        <v>2.1023765996343702E-2</v>
      </c>
      <c r="M110" s="5" t="str">
        <f t="shared" si="7"/>
        <v>2016-17 Q3</v>
      </c>
    </row>
    <row r="111" spans="1:13" ht="15.75" customHeight="1" x14ac:dyDescent="0.2">
      <c r="A111" t="s">
        <v>12</v>
      </c>
      <c r="B111">
        <v>2016</v>
      </c>
      <c r="C111">
        <v>11</v>
      </c>
      <c r="D111" t="s">
        <v>16</v>
      </c>
      <c r="E111" t="s">
        <v>14</v>
      </c>
      <c r="F111" s="2">
        <v>131.19999999999999</v>
      </c>
      <c r="G111" s="2">
        <v>3.63</v>
      </c>
      <c r="H111" t="s">
        <v>15</v>
      </c>
      <c r="I111" s="3">
        <v>111.9</v>
      </c>
      <c r="J111" s="4">
        <f t="shared" si="6"/>
        <v>1.8198362147406666E-2</v>
      </c>
      <c r="M111" s="5" t="str">
        <f t="shared" si="7"/>
        <v>2016-17 Q3</v>
      </c>
    </row>
    <row r="112" spans="1:13" ht="15.75" customHeight="1" x14ac:dyDescent="0.2">
      <c r="A112" t="s">
        <v>12</v>
      </c>
      <c r="B112">
        <v>2016</v>
      </c>
      <c r="C112">
        <v>10</v>
      </c>
      <c r="D112" t="s">
        <v>17</v>
      </c>
      <c r="E112" t="s">
        <v>14</v>
      </c>
      <c r="F112" s="2">
        <v>131.4</v>
      </c>
      <c r="G112" s="2">
        <v>4.2</v>
      </c>
      <c r="H112" t="s">
        <v>15</v>
      </c>
      <c r="I112" s="3">
        <v>111.5</v>
      </c>
      <c r="J112" s="4">
        <f t="shared" si="6"/>
        <v>1.2715712988192518E-2</v>
      </c>
      <c r="M112" s="5" t="str">
        <f t="shared" si="7"/>
        <v>2016-17 Q3</v>
      </c>
    </row>
    <row r="113" spans="1:13" ht="15.75" customHeight="1" x14ac:dyDescent="0.2">
      <c r="A113" t="s">
        <v>12</v>
      </c>
      <c r="B113">
        <v>2016</v>
      </c>
      <c r="C113">
        <v>9</v>
      </c>
      <c r="D113" t="s">
        <v>18</v>
      </c>
      <c r="E113" t="s">
        <v>14</v>
      </c>
      <c r="F113" s="2">
        <v>130.9</v>
      </c>
      <c r="G113" s="2">
        <v>4.3899999999999997</v>
      </c>
      <c r="H113" t="s">
        <v>15</v>
      </c>
      <c r="I113" s="3">
        <v>111.4</v>
      </c>
      <c r="J113" s="4">
        <f t="shared" si="6"/>
        <v>1.364877161055511E-2</v>
      </c>
      <c r="M113" s="5" t="str">
        <f t="shared" si="7"/>
        <v>2016-17 Q2</v>
      </c>
    </row>
    <row r="114" spans="1:13" ht="15.75" customHeight="1" x14ac:dyDescent="0.2">
      <c r="A114" t="s">
        <v>12</v>
      </c>
      <c r="B114">
        <v>2016</v>
      </c>
      <c r="C114">
        <v>8</v>
      </c>
      <c r="D114" t="s">
        <v>19</v>
      </c>
      <c r="E114" t="s">
        <v>14</v>
      </c>
      <c r="F114" s="2">
        <v>131.1</v>
      </c>
      <c r="G114" s="2">
        <v>5.05</v>
      </c>
      <c r="H114" t="s">
        <v>15</v>
      </c>
      <c r="I114" s="3">
        <v>111.2</v>
      </c>
      <c r="J114" s="4">
        <f t="shared" si="6"/>
        <v>1.0909090909090979E-2</v>
      </c>
      <c r="M114" s="5" t="str">
        <f t="shared" si="7"/>
        <v>2016-17 Q2</v>
      </c>
    </row>
    <row r="115" spans="1:13" ht="15.75" customHeight="1" x14ac:dyDescent="0.2">
      <c r="A115" t="s">
        <v>12</v>
      </c>
      <c r="B115">
        <v>2016</v>
      </c>
      <c r="C115">
        <v>7</v>
      </c>
      <c r="D115" t="s">
        <v>20</v>
      </c>
      <c r="E115" t="s">
        <v>14</v>
      </c>
      <c r="F115" s="2">
        <v>131.1</v>
      </c>
      <c r="G115" s="2">
        <v>6.07</v>
      </c>
      <c r="H115" t="s">
        <v>15</v>
      </c>
      <c r="I115" s="3">
        <v>111.8</v>
      </c>
      <c r="J115" s="4">
        <f t="shared" si="6"/>
        <v>6.3006300630064072E-3</v>
      </c>
      <c r="M115" s="5" t="str">
        <f t="shared" si="7"/>
        <v>2016-17 Q2</v>
      </c>
    </row>
    <row r="116" spans="1:13" ht="15.75" customHeight="1" x14ac:dyDescent="0.2">
      <c r="A116" t="s">
        <v>12</v>
      </c>
      <c r="B116">
        <v>2016</v>
      </c>
      <c r="C116">
        <v>6</v>
      </c>
      <c r="D116" t="s">
        <v>21</v>
      </c>
      <c r="E116" t="s">
        <v>14</v>
      </c>
      <c r="F116" s="2">
        <v>130.1</v>
      </c>
      <c r="G116" s="2">
        <v>5.77</v>
      </c>
      <c r="H116" t="s">
        <v>15</v>
      </c>
      <c r="I116" s="3">
        <v>111.7</v>
      </c>
      <c r="J116" s="4">
        <f t="shared" si="6"/>
        <v>-8.944543828264262E-4</v>
      </c>
      <c r="M116" s="5" t="str">
        <f t="shared" si="7"/>
        <v>2016-17 Q1</v>
      </c>
    </row>
    <row r="117" spans="1:13" ht="15.75" customHeight="1" x14ac:dyDescent="0.2">
      <c r="A117" t="s">
        <v>12</v>
      </c>
      <c r="B117">
        <v>2016</v>
      </c>
      <c r="C117">
        <v>5</v>
      </c>
      <c r="D117" t="s">
        <v>22</v>
      </c>
      <c r="E117" t="s">
        <v>14</v>
      </c>
      <c r="F117" s="2">
        <v>128.6</v>
      </c>
      <c r="G117" s="2">
        <v>5.76</v>
      </c>
      <c r="H117" t="s">
        <v>15</v>
      </c>
      <c r="I117" s="3">
        <v>110.4</v>
      </c>
      <c r="J117" s="4">
        <f t="shared" si="6"/>
        <v>-8.9766606822262451E-3</v>
      </c>
      <c r="M117" s="5" t="str">
        <f t="shared" si="7"/>
        <v>2016-17 Q1</v>
      </c>
    </row>
    <row r="118" spans="1:13" ht="15.75" customHeight="1" x14ac:dyDescent="0.2">
      <c r="A118" t="s">
        <v>12</v>
      </c>
      <c r="B118">
        <v>2016</v>
      </c>
      <c r="C118">
        <v>4</v>
      </c>
      <c r="D118" t="s">
        <v>23</v>
      </c>
      <c r="E118" t="s">
        <v>14</v>
      </c>
      <c r="F118" s="2">
        <v>127.3</v>
      </c>
      <c r="G118" s="2">
        <v>5.47</v>
      </c>
      <c r="H118" t="s">
        <v>15</v>
      </c>
      <c r="I118" s="3">
        <v>109</v>
      </c>
      <c r="J118" s="4">
        <f t="shared" si="6"/>
        <v>-1.0889292196007316E-2</v>
      </c>
      <c r="M118" s="5" t="str">
        <f t="shared" si="7"/>
        <v>2016-17 Q1</v>
      </c>
    </row>
    <row r="119" spans="1:13" ht="15.75" customHeight="1" x14ac:dyDescent="0.2">
      <c r="A119" t="s">
        <v>12</v>
      </c>
      <c r="B119">
        <v>2016</v>
      </c>
      <c r="C119">
        <v>3</v>
      </c>
      <c r="D119" t="s">
        <v>24</v>
      </c>
      <c r="E119" t="s">
        <v>14</v>
      </c>
      <c r="F119" s="2">
        <v>126</v>
      </c>
      <c r="G119" s="2">
        <v>4.83</v>
      </c>
      <c r="H119" t="s">
        <v>15</v>
      </c>
      <c r="I119" s="3">
        <v>107.7</v>
      </c>
      <c r="J119" s="4">
        <f t="shared" si="6"/>
        <v>-2.0018198362147466E-2</v>
      </c>
      <c r="M119" s="5" t="str">
        <f t="shared" si="7"/>
        <v>2015-16 Q4</v>
      </c>
    </row>
    <row r="120" spans="1:13" ht="15.75" customHeight="1" x14ac:dyDescent="0.2">
      <c r="A120" t="s">
        <v>12</v>
      </c>
      <c r="B120">
        <v>2016</v>
      </c>
      <c r="C120">
        <v>2</v>
      </c>
      <c r="D120" t="s">
        <v>25</v>
      </c>
      <c r="E120" t="s">
        <v>14</v>
      </c>
      <c r="F120" s="2">
        <v>126</v>
      </c>
      <c r="G120" s="2">
        <v>5.26</v>
      </c>
      <c r="H120" t="s">
        <v>15</v>
      </c>
      <c r="I120" s="3">
        <v>107.1</v>
      </c>
      <c r="J120" s="4">
        <f t="shared" si="6"/>
        <v>-2.2810218978102204E-2</v>
      </c>
      <c r="M120" s="5" t="str">
        <f t="shared" si="7"/>
        <v>2015-16 Q4</v>
      </c>
    </row>
    <row r="121" spans="1:13" ht="15.75" customHeight="1" x14ac:dyDescent="0.2">
      <c r="A121" t="s">
        <v>12</v>
      </c>
      <c r="B121">
        <v>2016</v>
      </c>
      <c r="C121">
        <v>1</v>
      </c>
      <c r="D121" t="s">
        <v>26</v>
      </c>
      <c r="E121" t="s">
        <v>14</v>
      </c>
      <c r="F121" s="2">
        <v>126.3</v>
      </c>
      <c r="G121" s="2">
        <v>5.69</v>
      </c>
      <c r="H121" t="s">
        <v>15</v>
      </c>
      <c r="I121" s="3">
        <v>108</v>
      </c>
      <c r="J121" s="4">
        <f t="shared" si="6"/>
        <v>-2.5270758122743708E-2</v>
      </c>
      <c r="M121" s="5" t="str">
        <f t="shared" si="7"/>
        <v>2015-16 Q4</v>
      </c>
    </row>
    <row r="122" spans="1:13" ht="15.75" customHeight="1" x14ac:dyDescent="0.2">
      <c r="A122" t="s">
        <v>12</v>
      </c>
      <c r="B122">
        <v>2015</v>
      </c>
      <c r="C122">
        <v>12</v>
      </c>
      <c r="D122" t="s">
        <v>13</v>
      </c>
      <c r="E122" t="s">
        <v>14</v>
      </c>
      <c r="F122" s="2">
        <v>126.1</v>
      </c>
      <c r="G122" s="2">
        <v>5.61</v>
      </c>
      <c r="H122" t="s">
        <v>15</v>
      </c>
      <c r="I122" s="3">
        <v>109.4</v>
      </c>
      <c r="J122" s="4">
        <f t="shared" si="6"/>
        <v>-2.4085637823371919E-2</v>
      </c>
      <c r="M122" s="5" t="str">
        <f t="shared" si="7"/>
        <v>2015-16 Q3</v>
      </c>
    </row>
    <row r="123" spans="1:13" ht="15.75" customHeight="1" x14ac:dyDescent="0.2">
      <c r="A123" t="s">
        <v>12</v>
      </c>
      <c r="B123">
        <v>2015</v>
      </c>
      <c r="C123">
        <v>11</v>
      </c>
      <c r="D123" t="s">
        <v>16</v>
      </c>
      <c r="E123" t="s">
        <v>14</v>
      </c>
      <c r="F123" s="2">
        <v>126.6</v>
      </c>
      <c r="G123" s="2">
        <v>5.41</v>
      </c>
      <c r="H123" t="s">
        <v>15</v>
      </c>
      <c r="I123" s="3">
        <v>109.9</v>
      </c>
      <c r="J123" s="4">
        <f t="shared" si="6"/>
        <v>-3.6809815950920144E-2</v>
      </c>
      <c r="M123" s="5" t="str">
        <f t="shared" si="7"/>
        <v>2015-16 Q3</v>
      </c>
    </row>
    <row r="124" spans="1:13" ht="15.75" customHeight="1" x14ac:dyDescent="0.2">
      <c r="A124" t="s">
        <v>12</v>
      </c>
      <c r="B124">
        <v>2015</v>
      </c>
      <c r="C124">
        <v>10</v>
      </c>
      <c r="D124" t="s">
        <v>17</v>
      </c>
      <c r="E124" t="s">
        <v>14</v>
      </c>
      <c r="F124" s="2">
        <v>126.1</v>
      </c>
      <c r="G124" s="2">
        <v>5</v>
      </c>
      <c r="H124" t="s">
        <v>15</v>
      </c>
      <c r="I124" s="3">
        <v>110.1</v>
      </c>
      <c r="J124" s="4">
        <f t="shared" si="6"/>
        <v>-4.7577854671280284E-2</v>
      </c>
      <c r="M124" s="5" t="str">
        <f t="shared" si="7"/>
        <v>2015-16 Q3</v>
      </c>
    </row>
    <row r="125" spans="1:13" ht="15.75" customHeight="1" x14ac:dyDescent="0.2">
      <c r="A125" t="s">
        <v>12</v>
      </c>
      <c r="B125">
        <v>2015</v>
      </c>
      <c r="C125">
        <v>9</v>
      </c>
      <c r="D125" t="s">
        <v>18</v>
      </c>
      <c r="E125" t="s">
        <v>14</v>
      </c>
      <c r="F125" s="2">
        <v>125.4</v>
      </c>
      <c r="G125" s="2">
        <v>4.41</v>
      </c>
      <c r="H125" t="s">
        <v>15</v>
      </c>
      <c r="I125" s="3">
        <v>109.9</v>
      </c>
      <c r="J125" s="4">
        <f t="shared" si="6"/>
        <v>-5.5841924398625453E-2</v>
      </c>
      <c r="M125" s="5" t="str">
        <f t="shared" si="7"/>
        <v>2015-16 Q2</v>
      </c>
    </row>
    <row r="126" spans="1:13" ht="15.75" customHeight="1" x14ac:dyDescent="0.2">
      <c r="A126" t="s">
        <v>12</v>
      </c>
      <c r="B126">
        <v>2015</v>
      </c>
      <c r="C126">
        <v>8</v>
      </c>
      <c r="D126" t="s">
        <v>19</v>
      </c>
      <c r="E126" t="s">
        <v>14</v>
      </c>
      <c r="F126" s="2">
        <v>124.8</v>
      </c>
      <c r="G126" s="2">
        <v>3.74</v>
      </c>
      <c r="H126" t="s">
        <v>15</v>
      </c>
      <c r="I126" s="3">
        <v>110</v>
      </c>
      <c r="J126" s="4">
        <f t="shared" si="6"/>
        <v>-6.1433447098976135E-2</v>
      </c>
      <c r="M126" s="5" t="str">
        <f t="shared" si="7"/>
        <v>2015-16 Q2</v>
      </c>
    </row>
    <row r="127" spans="1:13" ht="15.75" customHeight="1" x14ac:dyDescent="0.2">
      <c r="A127" t="s">
        <v>12</v>
      </c>
      <c r="B127">
        <v>2015</v>
      </c>
      <c r="C127">
        <v>7</v>
      </c>
      <c r="D127" t="s">
        <v>20</v>
      </c>
      <c r="E127" t="s">
        <v>14</v>
      </c>
      <c r="F127" s="2">
        <v>123.6</v>
      </c>
      <c r="G127" s="2">
        <v>3.69</v>
      </c>
      <c r="H127" t="s">
        <v>15</v>
      </c>
      <c r="I127" s="3">
        <v>111.1</v>
      </c>
      <c r="J127" s="4">
        <f t="shared" si="6"/>
        <v>-4.7986289631533952E-2</v>
      </c>
      <c r="M127" s="5" t="str">
        <f t="shared" si="7"/>
        <v>2015-16 Q2</v>
      </c>
    </row>
    <row r="128" spans="1:13" ht="15.75" customHeight="1" x14ac:dyDescent="0.2">
      <c r="A128" t="s">
        <v>12</v>
      </c>
      <c r="B128">
        <v>2015</v>
      </c>
      <c r="C128">
        <v>6</v>
      </c>
      <c r="D128" t="s">
        <v>21</v>
      </c>
      <c r="E128" t="s">
        <v>14</v>
      </c>
      <c r="F128" s="2">
        <v>123</v>
      </c>
      <c r="G128" s="2">
        <v>5.4</v>
      </c>
      <c r="H128" t="s">
        <v>15</v>
      </c>
      <c r="I128" s="3">
        <v>111.8</v>
      </c>
      <c r="J128" s="4">
        <f t="shared" si="6"/>
        <v>-2.9513888888888951E-2</v>
      </c>
      <c r="M128" s="5" t="str">
        <f t="shared" si="7"/>
        <v>2015-16 Q1</v>
      </c>
    </row>
    <row r="129" spans="1:13" ht="15.75" customHeight="1" x14ac:dyDescent="0.2">
      <c r="A129" t="s">
        <v>12</v>
      </c>
      <c r="B129">
        <v>2015</v>
      </c>
      <c r="C129">
        <v>5</v>
      </c>
      <c r="D129" t="s">
        <v>22</v>
      </c>
      <c r="E129" t="s">
        <v>14</v>
      </c>
      <c r="F129" s="2">
        <v>121.6</v>
      </c>
      <c r="G129" s="2">
        <v>5.01</v>
      </c>
      <c r="H129" t="s">
        <v>15</v>
      </c>
      <c r="I129" s="3">
        <v>111.4</v>
      </c>
      <c r="J129" s="4">
        <f t="shared" si="6"/>
        <v>-2.9616724738675937E-2</v>
      </c>
      <c r="M129" s="5" t="str">
        <f t="shared" si="7"/>
        <v>2015-16 Q1</v>
      </c>
    </row>
    <row r="130" spans="1:13" ht="15.75" customHeight="1" x14ac:dyDescent="0.2">
      <c r="A130" t="s">
        <v>12</v>
      </c>
      <c r="B130">
        <v>2015</v>
      </c>
      <c r="C130">
        <v>4</v>
      </c>
      <c r="D130" t="s">
        <v>23</v>
      </c>
      <c r="E130" t="s">
        <v>14</v>
      </c>
      <c r="F130" s="2">
        <v>120.7</v>
      </c>
      <c r="G130" s="2">
        <v>4.87</v>
      </c>
      <c r="H130" t="s">
        <v>15</v>
      </c>
      <c r="I130" s="3">
        <v>110.2</v>
      </c>
      <c r="J130" s="4">
        <f t="shared" ref="J130:J157" si="8">IFERROR(I130/I142-1,"")</f>
        <v>-3.4180543382997253E-2</v>
      </c>
      <c r="M130" s="5" t="str">
        <f t="shared" ref="M130:M157" si="9">IF(C130="","",(IF(C130&gt;=4,B130,B130-1))&amp;"-"&amp;TEXT(MOD(IF(C130&gt;=4,B130,B130-1)+1,100),"00")&amp;" Q"&amp;IF(C130&gt;=4,ROUNDUP((C130-3)/3,0),ROUNDUP((C130+9)/3,0)))</f>
        <v>2015-16 Q1</v>
      </c>
    </row>
    <row r="131" spans="1:13" ht="15.75" customHeight="1" x14ac:dyDescent="0.2">
      <c r="A131" t="s">
        <v>12</v>
      </c>
      <c r="B131">
        <v>2015</v>
      </c>
      <c r="C131">
        <v>3</v>
      </c>
      <c r="D131" t="s">
        <v>24</v>
      </c>
      <c r="E131" t="s">
        <v>14</v>
      </c>
      <c r="F131" s="2">
        <v>120.2</v>
      </c>
      <c r="G131" s="2">
        <v>5.25</v>
      </c>
      <c r="H131" t="s">
        <v>15</v>
      </c>
      <c r="I131" s="3">
        <v>109.9</v>
      </c>
      <c r="J131" s="4">
        <f t="shared" si="8"/>
        <v>-3.8495188101487221E-2</v>
      </c>
      <c r="M131" s="5" t="str">
        <f t="shared" si="9"/>
        <v>2014-15 Q4</v>
      </c>
    </row>
    <row r="132" spans="1:13" ht="15.75" customHeight="1" x14ac:dyDescent="0.2">
      <c r="A132" t="s">
        <v>12</v>
      </c>
      <c r="B132">
        <v>2015</v>
      </c>
      <c r="C132">
        <v>2</v>
      </c>
      <c r="D132" t="s">
        <v>25</v>
      </c>
      <c r="E132" t="s">
        <v>14</v>
      </c>
      <c r="F132" s="2">
        <v>119.7</v>
      </c>
      <c r="G132" s="2">
        <v>5.37</v>
      </c>
      <c r="H132" t="s">
        <v>15</v>
      </c>
      <c r="I132" s="3">
        <v>109.6</v>
      </c>
      <c r="J132" s="4">
        <f t="shared" si="8"/>
        <v>-3.5211267605633756E-2</v>
      </c>
      <c r="M132" s="5" t="str">
        <f t="shared" si="9"/>
        <v>2014-15 Q4</v>
      </c>
    </row>
    <row r="133" spans="1:13" ht="15.75" customHeight="1" x14ac:dyDescent="0.2">
      <c r="A133" t="s">
        <v>12</v>
      </c>
      <c r="B133">
        <v>2015</v>
      </c>
      <c r="C133">
        <v>1</v>
      </c>
      <c r="D133" t="s">
        <v>26</v>
      </c>
      <c r="E133" t="s">
        <v>14</v>
      </c>
      <c r="F133" s="2">
        <v>119.5</v>
      </c>
      <c r="G133" s="2">
        <v>5.19</v>
      </c>
      <c r="H133" t="s">
        <v>15</v>
      </c>
      <c r="I133" s="3">
        <v>110.8</v>
      </c>
      <c r="J133" s="4">
        <f t="shared" si="8"/>
        <v>-2.4647887323943629E-2</v>
      </c>
      <c r="M133" s="5" t="str">
        <f t="shared" si="9"/>
        <v>2014-15 Q4</v>
      </c>
    </row>
    <row r="134" spans="1:13" ht="15.75" customHeight="1" x14ac:dyDescent="0.2">
      <c r="A134" t="s">
        <v>12</v>
      </c>
      <c r="B134">
        <v>2014</v>
      </c>
      <c r="C134">
        <v>12</v>
      </c>
      <c r="D134" t="s">
        <v>13</v>
      </c>
      <c r="E134" t="s">
        <v>14</v>
      </c>
      <c r="F134" s="2">
        <v>119.4</v>
      </c>
      <c r="G134" s="2">
        <v>4.28</v>
      </c>
      <c r="H134" t="s">
        <v>15</v>
      </c>
      <c r="I134" s="3">
        <v>112.1</v>
      </c>
      <c r="J134" s="4">
        <f t="shared" si="8"/>
        <v>-1.1463844797178213E-2</v>
      </c>
      <c r="M134" s="5" t="str">
        <f t="shared" si="9"/>
        <v>2014-15 Q3</v>
      </c>
    </row>
    <row r="135" spans="1:13" ht="15.75" customHeight="1" x14ac:dyDescent="0.2">
      <c r="A135" t="s">
        <v>12</v>
      </c>
      <c r="B135">
        <v>2014</v>
      </c>
      <c r="C135">
        <v>11</v>
      </c>
      <c r="D135" t="s">
        <v>16</v>
      </c>
      <c r="E135" t="s">
        <v>14</v>
      </c>
      <c r="F135" s="2">
        <v>120.1</v>
      </c>
      <c r="G135" s="2">
        <v>3.27</v>
      </c>
      <c r="H135" t="s">
        <v>15</v>
      </c>
      <c r="I135" s="3">
        <v>114.1</v>
      </c>
      <c r="J135" s="4">
        <f t="shared" si="8"/>
        <v>-1.7497812773403787E-3</v>
      </c>
      <c r="M135" s="5" t="str">
        <f t="shared" si="9"/>
        <v>2014-15 Q3</v>
      </c>
    </row>
    <row r="136" spans="1:13" ht="15.75" customHeight="1" x14ac:dyDescent="0.2">
      <c r="A136" t="s">
        <v>12</v>
      </c>
      <c r="B136">
        <v>2014</v>
      </c>
      <c r="C136">
        <v>10</v>
      </c>
      <c r="D136" t="s">
        <v>17</v>
      </c>
      <c r="E136" t="s">
        <v>14</v>
      </c>
      <c r="F136" s="2">
        <v>120.1</v>
      </c>
      <c r="G136" s="2">
        <v>4.62</v>
      </c>
      <c r="H136" t="s">
        <v>15</v>
      </c>
      <c r="I136" s="3">
        <v>115.6</v>
      </c>
      <c r="J136" s="4">
        <f t="shared" si="8"/>
        <v>8.7260034904013128E-3</v>
      </c>
      <c r="M136" s="5" t="str">
        <f t="shared" si="9"/>
        <v>2014-15 Q3</v>
      </c>
    </row>
    <row r="137" spans="1:13" ht="15.75" customHeight="1" x14ac:dyDescent="0.2">
      <c r="A137" t="s">
        <v>12</v>
      </c>
      <c r="B137">
        <v>2014</v>
      </c>
      <c r="C137">
        <v>9</v>
      </c>
      <c r="D137" t="s">
        <v>18</v>
      </c>
      <c r="E137" t="s">
        <v>14</v>
      </c>
      <c r="F137" s="2">
        <v>120.1</v>
      </c>
      <c r="G137" s="2">
        <v>5.63</v>
      </c>
      <c r="H137" t="s">
        <v>15</v>
      </c>
      <c r="I137" s="3">
        <v>116.4</v>
      </c>
      <c r="J137" s="4">
        <f t="shared" si="8"/>
        <v>1.8372703412073532E-2</v>
      </c>
      <c r="M137" s="5" t="str">
        <f t="shared" si="9"/>
        <v>2014-15 Q2</v>
      </c>
    </row>
    <row r="138" spans="1:13" ht="15.75" customHeight="1" x14ac:dyDescent="0.2">
      <c r="A138" t="s">
        <v>12</v>
      </c>
      <c r="B138">
        <v>2014</v>
      </c>
      <c r="C138">
        <v>8</v>
      </c>
      <c r="D138" t="s">
        <v>19</v>
      </c>
      <c r="E138" t="s">
        <v>14</v>
      </c>
      <c r="F138" s="2">
        <v>120.3</v>
      </c>
      <c r="G138" s="2">
        <v>7.03</v>
      </c>
      <c r="H138" t="s">
        <v>15</v>
      </c>
      <c r="I138" s="3">
        <v>117.2</v>
      </c>
      <c r="J138" s="4">
        <f t="shared" si="8"/>
        <v>3.8086802480070903E-2</v>
      </c>
      <c r="M138" s="5" t="str">
        <f t="shared" si="9"/>
        <v>2014-15 Q2</v>
      </c>
    </row>
    <row r="139" spans="1:13" ht="15.75" customHeight="1" x14ac:dyDescent="0.2">
      <c r="A139" t="s">
        <v>12</v>
      </c>
      <c r="B139">
        <v>2014</v>
      </c>
      <c r="C139">
        <v>7</v>
      </c>
      <c r="D139" t="s">
        <v>20</v>
      </c>
      <c r="E139" t="s">
        <v>14</v>
      </c>
      <c r="F139" s="2">
        <v>119.2</v>
      </c>
      <c r="G139" s="2">
        <v>7.39</v>
      </c>
      <c r="H139" t="s">
        <v>15</v>
      </c>
      <c r="I139" s="3">
        <v>116.7</v>
      </c>
      <c r="J139" s="4">
        <f t="shared" si="8"/>
        <v>4.9460431654676285E-2</v>
      </c>
      <c r="M139" s="5" t="str">
        <f t="shared" si="9"/>
        <v>2014-15 Q2</v>
      </c>
    </row>
    <row r="140" spans="1:13" ht="15.75" customHeight="1" x14ac:dyDescent="0.2">
      <c r="A140" t="s">
        <v>12</v>
      </c>
      <c r="B140">
        <v>2014</v>
      </c>
      <c r="C140">
        <v>6</v>
      </c>
      <c r="D140" t="s">
        <v>21</v>
      </c>
      <c r="E140" t="s">
        <v>14</v>
      </c>
      <c r="F140" s="2">
        <v>116.7</v>
      </c>
      <c r="G140" s="2">
        <v>6.77</v>
      </c>
      <c r="H140" t="s">
        <v>15</v>
      </c>
      <c r="I140" s="3">
        <v>115.2</v>
      </c>
      <c r="J140" s="4">
        <f t="shared" si="8"/>
        <v>4.6321525885558712E-2</v>
      </c>
      <c r="M140" s="5" t="str">
        <f t="shared" si="9"/>
        <v>2014-15 Q1</v>
      </c>
    </row>
    <row r="141" spans="1:13" ht="15.75" customHeight="1" x14ac:dyDescent="0.2">
      <c r="A141" t="s">
        <v>12</v>
      </c>
      <c r="B141">
        <v>2014</v>
      </c>
      <c r="C141">
        <v>5</v>
      </c>
      <c r="D141" t="s">
        <v>22</v>
      </c>
      <c r="E141" t="s">
        <v>14</v>
      </c>
      <c r="F141" s="2">
        <v>115.8</v>
      </c>
      <c r="G141" s="2">
        <v>8.33</v>
      </c>
      <c r="H141" t="s">
        <v>15</v>
      </c>
      <c r="I141" s="3">
        <v>114.8</v>
      </c>
      <c r="J141" s="4">
        <f t="shared" si="8"/>
        <v>5.7090239410681365E-2</v>
      </c>
      <c r="M141" s="5" t="str">
        <f t="shared" si="9"/>
        <v>2014-15 Q1</v>
      </c>
    </row>
    <row r="142" spans="1:13" ht="15.75" customHeight="1" x14ac:dyDescent="0.2">
      <c r="A142" t="s">
        <v>12</v>
      </c>
      <c r="B142">
        <v>2014</v>
      </c>
      <c r="C142">
        <v>4</v>
      </c>
      <c r="D142" t="s">
        <v>23</v>
      </c>
      <c r="E142" t="s">
        <v>14</v>
      </c>
      <c r="F142" s="2">
        <v>115.1</v>
      </c>
      <c r="G142" s="2">
        <v>8.48</v>
      </c>
      <c r="H142" t="s">
        <v>15</v>
      </c>
      <c r="I142" s="3">
        <v>114.1</v>
      </c>
      <c r="J142" s="4">
        <f t="shared" si="8"/>
        <v>5.0644567219152892E-2</v>
      </c>
      <c r="M142" s="5" t="str">
        <f t="shared" si="9"/>
        <v>2014-15 Q1</v>
      </c>
    </row>
    <row r="143" spans="1:13" ht="15.75" customHeight="1" x14ac:dyDescent="0.2">
      <c r="A143" t="s">
        <v>12</v>
      </c>
      <c r="B143">
        <v>2014</v>
      </c>
      <c r="C143">
        <v>3</v>
      </c>
      <c r="D143" t="s">
        <v>24</v>
      </c>
      <c r="E143" t="s">
        <v>14</v>
      </c>
      <c r="F143" s="2">
        <v>114.2</v>
      </c>
      <c r="G143" s="2">
        <v>8.25</v>
      </c>
      <c r="H143" t="s">
        <v>15</v>
      </c>
      <c r="I143" s="3">
        <v>114.3</v>
      </c>
      <c r="J143" s="4">
        <f t="shared" si="8"/>
        <v>5.2486187845303789E-2</v>
      </c>
      <c r="M143" s="5" t="str">
        <f t="shared" si="9"/>
        <v>2013-14 Q4</v>
      </c>
    </row>
    <row r="144" spans="1:13" ht="15.75" customHeight="1" x14ac:dyDescent="0.2">
      <c r="A144" t="s">
        <v>12</v>
      </c>
      <c r="B144">
        <v>2014</v>
      </c>
      <c r="C144">
        <v>2</v>
      </c>
      <c r="D144" t="s">
        <v>25</v>
      </c>
      <c r="E144" t="s">
        <v>14</v>
      </c>
      <c r="F144" s="2">
        <v>113.6</v>
      </c>
      <c r="G144" s="2">
        <v>7.88</v>
      </c>
      <c r="H144" t="s">
        <v>15</v>
      </c>
      <c r="I144" s="3">
        <v>113.6</v>
      </c>
      <c r="J144" s="4">
        <f t="shared" si="8"/>
        <v>4.7970479704796842E-2</v>
      </c>
      <c r="M144" s="5" t="str">
        <f t="shared" si="9"/>
        <v>2013-14 Q4</v>
      </c>
    </row>
    <row r="145" spans="1:13" ht="15.75" customHeight="1" x14ac:dyDescent="0.2">
      <c r="A145" t="s">
        <v>12</v>
      </c>
      <c r="B145">
        <v>2014</v>
      </c>
      <c r="C145">
        <v>1</v>
      </c>
      <c r="D145" t="s">
        <v>26</v>
      </c>
      <c r="E145" t="s">
        <v>14</v>
      </c>
      <c r="F145" s="2">
        <v>113.6</v>
      </c>
      <c r="G145" s="2">
        <v>8.6</v>
      </c>
      <c r="H145" t="s">
        <v>15</v>
      </c>
      <c r="I145" s="3">
        <v>113.6</v>
      </c>
      <c r="J145" s="4">
        <f t="shared" si="8"/>
        <v>5.1851851851851816E-2</v>
      </c>
      <c r="M145" s="5" t="str">
        <f t="shared" si="9"/>
        <v>2013-14 Q4</v>
      </c>
    </row>
    <row r="146" spans="1:13" ht="15.75" customHeight="1" x14ac:dyDescent="0.2">
      <c r="A146" t="s">
        <v>12</v>
      </c>
      <c r="B146">
        <v>2013</v>
      </c>
      <c r="C146">
        <v>12</v>
      </c>
      <c r="D146" t="s">
        <v>13</v>
      </c>
      <c r="E146" t="s">
        <v>14</v>
      </c>
      <c r="F146" s="2">
        <v>114.5</v>
      </c>
      <c r="G146" s="2"/>
      <c r="H146" t="s">
        <v>15</v>
      </c>
      <c r="I146" s="3">
        <v>113.4</v>
      </c>
      <c r="J146" s="4" t="str">
        <f t="shared" si="8"/>
        <v/>
      </c>
      <c r="M146" s="5" t="str">
        <f t="shared" si="9"/>
        <v>2013-14 Q3</v>
      </c>
    </row>
    <row r="147" spans="1:13" ht="15.75" customHeight="1" x14ac:dyDescent="0.2">
      <c r="A147" t="s">
        <v>12</v>
      </c>
      <c r="B147">
        <v>2013</v>
      </c>
      <c r="C147">
        <v>11</v>
      </c>
      <c r="D147" t="s">
        <v>16</v>
      </c>
      <c r="E147" t="s">
        <v>14</v>
      </c>
      <c r="F147" s="2">
        <v>116.3</v>
      </c>
      <c r="G147" s="2"/>
      <c r="H147" t="s">
        <v>15</v>
      </c>
      <c r="I147" s="3">
        <v>114.3</v>
      </c>
      <c r="J147" s="4" t="str">
        <f t="shared" si="8"/>
        <v/>
      </c>
      <c r="M147" s="5" t="str">
        <f t="shared" si="9"/>
        <v>2013-14 Q3</v>
      </c>
    </row>
    <row r="148" spans="1:13" ht="15.75" customHeight="1" x14ac:dyDescent="0.2">
      <c r="A148" t="s">
        <v>12</v>
      </c>
      <c r="B148">
        <v>2013</v>
      </c>
      <c r="C148">
        <v>10</v>
      </c>
      <c r="D148" t="s">
        <v>17</v>
      </c>
      <c r="E148" t="s">
        <v>14</v>
      </c>
      <c r="F148" s="2">
        <v>114.8</v>
      </c>
      <c r="G148" s="2"/>
      <c r="H148" t="s">
        <v>15</v>
      </c>
      <c r="I148" s="3">
        <v>114.6</v>
      </c>
      <c r="J148" s="4" t="str">
        <f t="shared" si="8"/>
        <v/>
      </c>
      <c r="M148" s="5" t="str">
        <f t="shared" si="9"/>
        <v>2013-14 Q3</v>
      </c>
    </row>
    <row r="149" spans="1:13" ht="15.75" customHeight="1" x14ac:dyDescent="0.2">
      <c r="A149" t="s">
        <v>12</v>
      </c>
      <c r="B149">
        <v>2013</v>
      </c>
      <c r="C149">
        <v>9</v>
      </c>
      <c r="D149" t="s">
        <v>18</v>
      </c>
      <c r="E149" t="s">
        <v>14</v>
      </c>
      <c r="F149" s="2">
        <v>113.7</v>
      </c>
      <c r="G149" s="2"/>
      <c r="H149" t="s">
        <v>15</v>
      </c>
      <c r="I149" s="3">
        <v>114.3</v>
      </c>
      <c r="J149" s="4" t="str">
        <f t="shared" si="8"/>
        <v/>
      </c>
      <c r="M149" s="5" t="str">
        <f t="shared" si="9"/>
        <v>2013-14 Q2</v>
      </c>
    </row>
    <row r="150" spans="1:13" ht="15.75" customHeight="1" x14ac:dyDescent="0.2">
      <c r="A150" t="s">
        <v>12</v>
      </c>
      <c r="B150">
        <v>2013</v>
      </c>
      <c r="C150">
        <v>8</v>
      </c>
      <c r="D150" t="s">
        <v>19</v>
      </c>
      <c r="E150" t="s">
        <v>14</v>
      </c>
      <c r="F150" s="2">
        <v>112.4</v>
      </c>
      <c r="G150" s="2"/>
      <c r="H150" t="s">
        <v>15</v>
      </c>
      <c r="I150" s="3">
        <v>112.9</v>
      </c>
      <c r="J150" s="4" t="str">
        <f t="shared" si="8"/>
        <v/>
      </c>
      <c r="M150" s="5" t="str">
        <f t="shared" si="9"/>
        <v>2013-14 Q2</v>
      </c>
    </row>
    <row r="151" spans="1:13" ht="15.75" customHeight="1" x14ac:dyDescent="0.2">
      <c r="A151" t="s">
        <v>12</v>
      </c>
      <c r="B151">
        <v>2013</v>
      </c>
      <c r="C151">
        <v>7</v>
      </c>
      <c r="D151" t="s">
        <v>20</v>
      </c>
      <c r="E151" t="s">
        <v>14</v>
      </c>
      <c r="F151" s="2">
        <v>111</v>
      </c>
      <c r="G151" s="2"/>
      <c r="H151" t="s">
        <v>15</v>
      </c>
      <c r="I151" s="3">
        <v>111.2</v>
      </c>
      <c r="J151" s="4" t="str">
        <f t="shared" si="8"/>
        <v/>
      </c>
      <c r="M151" s="5" t="str">
        <f t="shared" si="9"/>
        <v>2013-14 Q2</v>
      </c>
    </row>
    <row r="152" spans="1:13" ht="15.75" customHeight="1" x14ac:dyDescent="0.2">
      <c r="A152" t="s">
        <v>12</v>
      </c>
      <c r="B152">
        <v>2013</v>
      </c>
      <c r="C152">
        <v>6</v>
      </c>
      <c r="D152" t="s">
        <v>21</v>
      </c>
      <c r="E152" t="s">
        <v>14</v>
      </c>
      <c r="F152" s="2">
        <v>109.3</v>
      </c>
      <c r="G152" s="2"/>
      <c r="H152" t="s">
        <v>15</v>
      </c>
      <c r="I152" s="3">
        <v>110.1</v>
      </c>
      <c r="J152" s="4" t="str">
        <f t="shared" si="8"/>
        <v/>
      </c>
      <c r="M152" s="5" t="str">
        <f t="shared" si="9"/>
        <v>2013-14 Q1</v>
      </c>
    </row>
    <row r="153" spans="1:13" ht="15.75" customHeight="1" x14ac:dyDescent="0.2">
      <c r="A153" t="s">
        <v>12</v>
      </c>
      <c r="B153">
        <v>2013</v>
      </c>
      <c r="C153">
        <v>5</v>
      </c>
      <c r="D153" t="s">
        <v>22</v>
      </c>
      <c r="E153" t="s">
        <v>14</v>
      </c>
      <c r="F153" s="2">
        <v>106.9</v>
      </c>
      <c r="G153" s="2"/>
      <c r="H153" t="s">
        <v>15</v>
      </c>
      <c r="I153" s="3">
        <v>108.6</v>
      </c>
      <c r="J153" s="4" t="str">
        <f t="shared" si="8"/>
        <v/>
      </c>
      <c r="M153" s="5" t="str">
        <f t="shared" si="9"/>
        <v>2013-14 Q1</v>
      </c>
    </row>
    <row r="154" spans="1:13" ht="15.75" customHeight="1" x14ac:dyDescent="0.2">
      <c r="A154" t="s">
        <v>12</v>
      </c>
      <c r="B154">
        <v>2013</v>
      </c>
      <c r="C154">
        <v>4</v>
      </c>
      <c r="D154" t="s">
        <v>23</v>
      </c>
      <c r="E154" t="s">
        <v>14</v>
      </c>
      <c r="F154" s="2">
        <v>106.1</v>
      </c>
      <c r="G154" s="2"/>
      <c r="H154" t="s">
        <v>15</v>
      </c>
      <c r="I154" s="3">
        <v>108.6</v>
      </c>
      <c r="J154" s="4" t="str">
        <f t="shared" si="8"/>
        <v/>
      </c>
      <c r="M154" s="5" t="str">
        <f t="shared" si="9"/>
        <v>2013-14 Q1</v>
      </c>
    </row>
    <row r="155" spans="1:13" ht="15.75" customHeight="1" x14ac:dyDescent="0.2">
      <c r="A155" t="s">
        <v>12</v>
      </c>
      <c r="B155">
        <v>2013</v>
      </c>
      <c r="C155">
        <v>3</v>
      </c>
      <c r="D155" t="s">
        <v>24</v>
      </c>
      <c r="E155" t="s">
        <v>14</v>
      </c>
      <c r="F155" s="2">
        <v>105.5</v>
      </c>
      <c r="G155" s="2"/>
      <c r="H155" t="s">
        <v>15</v>
      </c>
      <c r="I155" s="3">
        <v>108.6</v>
      </c>
      <c r="J155" s="4" t="str">
        <f t="shared" si="8"/>
        <v/>
      </c>
      <c r="M155" s="5" t="str">
        <f t="shared" si="9"/>
        <v>2012-13 Q4</v>
      </c>
    </row>
    <row r="156" spans="1:13" ht="15.75" customHeight="1" x14ac:dyDescent="0.2">
      <c r="A156" t="s">
        <v>12</v>
      </c>
      <c r="B156">
        <v>2013</v>
      </c>
      <c r="C156">
        <v>2</v>
      </c>
      <c r="D156" t="s">
        <v>25</v>
      </c>
      <c r="E156" t="s">
        <v>14</v>
      </c>
      <c r="F156" s="2">
        <v>105.3</v>
      </c>
      <c r="G156" s="2"/>
      <c r="H156" t="s">
        <v>15</v>
      </c>
      <c r="I156" s="3">
        <v>108.4</v>
      </c>
      <c r="J156" s="4" t="str">
        <f t="shared" si="8"/>
        <v/>
      </c>
      <c r="M156" s="5" t="str">
        <f t="shared" si="9"/>
        <v>2012-13 Q4</v>
      </c>
    </row>
    <row r="157" spans="1:13" ht="15.75" customHeight="1" x14ac:dyDescent="0.2">
      <c r="A157" t="s">
        <v>12</v>
      </c>
      <c r="B157">
        <v>2013</v>
      </c>
      <c r="C157">
        <v>1</v>
      </c>
      <c r="D157" t="s">
        <v>26</v>
      </c>
      <c r="E157" t="s">
        <v>14</v>
      </c>
      <c r="F157" s="2">
        <v>104.6</v>
      </c>
      <c r="G157" s="2"/>
      <c r="H157" t="s">
        <v>15</v>
      </c>
      <c r="I157" s="3">
        <v>108</v>
      </c>
      <c r="J157" s="4" t="str">
        <f t="shared" si="8"/>
        <v/>
      </c>
      <c r="M157" s="5" t="str">
        <f t="shared" si="9"/>
        <v>2012-13 Q4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"/>
  <sheetViews>
    <sheetView zoomScaleNormal="100" workbookViewId="0">
      <selection activeCell="C1" sqref="C1:E59"/>
    </sheetView>
  </sheetViews>
  <sheetFormatPr baseColWidth="10" defaultColWidth="10.5" defaultRowHeight="16" x14ac:dyDescent="0.2"/>
  <cols>
    <col min="2" max="2" width="16.83203125" customWidth="1"/>
    <col min="3" max="3" width="14.33203125" customWidth="1"/>
    <col min="4" max="4" width="17.1640625" customWidth="1"/>
    <col min="5" max="5" width="14.6640625" customWidth="1"/>
    <col min="7" max="7" width="60" customWidth="1"/>
  </cols>
  <sheetData>
    <row r="1" spans="1:7" ht="15.75" customHeight="1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G1" s="1" t="s">
        <v>33</v>
      </c>
    </row>
    <row r="2" spans="1:7" ht="15.75" customHeight="1" x14ac:dyDescent="0.2">
      <c r="A2" t="s">
        <v>34</v>
      </c>
      <c r="B2" s="6" t="str">
        <f>IFERROR(AVERAGEIF(Main!$M:$M,$A2,Main!$F:$F),"")</f>
        <v/>
      </c>
      <c r="C2" s="7"/>
      <c r="D2" s="6" t="str">
        <f>IFERROR(AVERAGEIF(Main!$M:$M,$A2,Main!$I:$I),"")</f>
        <v/>
      </c>
      <c r="E2" s="7"/>
      <c r="G2" s="8" t="s">
        <v>35</v>
      </c>
    </row>
    <row r="3" spans="1:7" ht="15.75" customHeight="1" x14ac:dyDescent="0.2">
      <c r="A3" t="s">
        <v>36</v>
      </c>
      <c r="B3" s="6" t="str">
        <f>IFERROR(AVERAGEIF(Main!$M:$M,$A3,Main!$F:$F),"")</f>
        <v/>
      </c>
      <c r="C3" s="7"/>
      <c r="D3" s="6" t="str">
        <f>IFERROR(AVERAGEIF(Main!$M:$M,$A3,Main!$I:$I),"")</f>
        <v/>
      </c>
      <c r="E3" s="7"/>
      <c r="G3" s="8" t="s">
        <v>37</v>
      </c>
    </row>
    <row r="4" spans="1:7" ht="15.75" customHeight="1" x14ac:dyDescent="0.2">
      <c r="A4" t="s">
        <v>38</v>
      </c>
      <c r="B4" s="6" t="str">
        <f>IFERROR(AVERAGEIF(Main!$M:$M,$A4,Main!$F:$F),"")</f>
        <v/>
      </c>
      <c r="C4" s="7"/>
      <c r="D4" s="6" t="str">
        <f>IFERROR(AVERAGEIF(Main!$M:$M,$A4,Main!$I:$I),"")</f>
        <v/>
      </c>
      <c r="E4" s="7"/>
      <c r="G4" s="8" t="s">
        <v>39</v>
      </c>
    </row>
    <row r="5" spans="1:7" ht="15.75" customHeight="1" x14ac:dyDescent="0.2">
      <c r="A5" t="s">
        <v>40</v>
      </c>
      <c r="B5" s="6" t="str">
        <f>IFERROR(AVERAGEIF(Main!$M:$M,$A5,Main!$F:$F),"")</f>
        <v/>
      </c>
      <c r="C5" s="7"/>
      <c r="D5" s="6" t="str">
        <f>IFERROR(AVERAGEIF(Main!$M:$M,$A5,Main!$I:$I),"")</f>
        <v/>
      </c>
      <c r="E5" s="7"/>
    </row>
    <row r="6" spans="1:7" ht="15.75" customHeight="1" x14ac:dyDescent="0.2">
      <c r="A6" t="s">
        <v>41</v>
      </c>
      <c r="B6" s="6" t="str">
        <f>IFERROR(AVERAGEIF(Main!$M:$M,$A6,Main!$F:$F),"")</f>
        <v/>
      </c>
      <c r="C6" s="7" t="str">
        <f t="shared" ref="C6:C37" si="0">IFERROR(B6/B2-1,"")</f>
        <v/>
      </c>
      <c r="D6" s="6" t="str">
        <f>IFERROR(AVERAGEIF(Main!$M:$M,$A6,Main!$I:$I),"")</f>
        <v/>
      </c>
      <c r="E6" s="7" t="str">
        <f t="shared" ref="E6:E37" si="1">IFERROR(D6/D2-1,"")</f>
        <v/>
      </c>
    </row>
    <row r="7" spans="1:7" ht="15.75" customHeight="1" x14ac:dyDescent="0.2">
      <c r="A7" t="s">
        <v>42</v>
      </c>
      <c r="B7" s="6" t="str">
        <f>IFERROR(AVERAGEIF(Main!$M:$M,$A7,Main!$F:$F),"")</f>
        <v/>
      </c>
      <c r="C7" s="7" t="str">
        <f t="shared" si="0"/>
        <v/>
      </c>
      <c r="D7" s="6" t="str">
        <f>IFERROR(AVERAGEIF(Main!$M:$M,$A7,Main!$I:$I),"")</f>
        <v/>
      </c>
      <c r="E7" s="7" t="str">
        <f t="shared" si="1"/>
        <v/>
      </c>
    </row>
    <row r="8" spans="1:7" ht="15.75" customHeight="1" x14ac:dyDescent="0.2">
      <c r="A8" t="s">
        <v>43</v>
      </c>
      <c r="B8" s="6" t="str">
        <f>IFERROR(AVERAGEIF(Main!$M:$M,$A8,Main!$F:$F),"")</f>
        <v/>
      </c>
      <c r="C8" s="7" t="str">
        <f t="shared" si="0"/>
        <v/>
      </c>
      <c r="D8" s="6" t="str">
        <f>IFERROR(AVERAGEIF(Main!$M:$M,$A8,Main!$I:$I),"")</f>
        <v/>
      </c>
      <c r="E8" s="7" t="str">
        <f t="shared" si="1"/>
        <v/>
      </c>
    </row>
    <row r="9" spans="1:7" ht="15.75" customHeight="1" x14ac:dyDescent="0.2">
      <c r="A9" t="s">
        <v>44</v>
      </c>
      <c r="B9" s="6">
        <f>IFERROR(AVERAGEIF(Main!$M:$M,$A9,Main!$F:$F),"")</f>
        <v>105.13333333333333</v>
      </c>
      <c r="C9" s="7" t="str">
        <f t="shared" si="0"/>
        <v/>
      </c>
      <c r="D9" s="6">
        <f>IFERROR(AVERAGEIF(Main!$M:$M,$A9,Main!$I:$I),"")</f>
        <v>108.33333333333333</v>
      </c>
      <c r="E9" s="7" t="str">
        <f t="shared" si="1"/>
        <v/>
      </c>
    </row>
    <row r="10" spans="1:7" ht="15.75" customHeight="1" x14ac:dyDescent="0.2">
      <c r="A10" t="s">
        <v>45</v>
      </c>
      <c r="B10" s="6">
        <f>IFERROR(AVERAGEIF(Main!$M:$M,$A10,Main!$F:$F),"")</f>
        <v>107.43333333333332</v>
      </c>
      <c r="C10" s="7" t="str">
        <f t="shared" si="0"/>
        <v/>
      </c>
      <c r="D10" s="6">
        <f>IFERROR(AVERAGEIF(Main!$M:$M,$A10,Main!$I:$I),"")</f>
        <v>109.09999999999998</v>
      </c>
      <c r="E10" s="7" t="str">
        <f t="shared" si="1"/>
        <v/>
      </c>
    </row>
    <row r="11" spans="1:7" ht="15.75" customHeight="1" x14ac:dyDescent="0.2">
      <c r="A11" t="s">
        <v>46</v>
      </c>
      <c r="B11" s="6">
        <f>IFERROR(AVERAGEIF(Main!$M:$M,$A11,Main!$F:$F),"")</f>
        <v>112.36666666666667</v>
      </c>
      <c r="C11" s="7" t="str">
        <f t="shared" si="0"/>
        <v/>
      </c>
      <c r="D11" s="6">
        <f>IFERROR(AVERAGEIF(Main!$M:$M,$A11,Main!$I:$I),"")</f>
        <v>112.8</v>
      </c>
      <c r="E11" s="7" t="str">
        <f t="shared" si="1"/>
        <v/>
      </c>
    </row>
    <row r="12" spans="1:7" ht="15.75" customHeight="1" x14ac:dyDescent="0.2">
      <c r="A12" t="s">
        <v>47</v>
      </c>
      <c r="B12" s="6">
        <f>IFERROR(AVERAGEIF(Main!$M:$M,$A12,Main!$F:$F),"")</f>
        <v>115.2</v>
      </c>
      <c r="C12" s="7" t="str">
        <f t="shared" si="0"/>
        <v/>
      </c>
      <c r="D12" s="6">
        <f>IFERROR(AVERAGEIF(Main!$M:$M,$A12,Main!$I:$I),"")</f>
        <v>114.09999999999998</v>
      </c>
      <c r="E12" s="7" t="str">
        <f t="shared" si="1"/>
        <v/>
      </c>
    </row>
    <row r="13" spans="1:7" ht="15.75" customHeight="1" x14ac:dyDescent="0.2">
      <c r="A13" t="s">
        <v>48</v>
      </c>
      <c r="B13" s="6">
        <f>IFERROR(AVERAGEIF(Main!$M:$M,$A13,Main!$F:$F),"")</f>
        <v>113.8</v>
      </c>
      <c r="C13" s="7">
        <f t="shared" si="0"/>
        <v>8.243500317057717E-2</v>
      </c>
      <c r="D13" s="6">
        <f>IFERROR(AVERAGEIF(Main!$M:$M,$A13,Main!$I:$I),"")</f>
        <v>113.83333333333333</v>
      </c>
      <c r="E13" s="15">
        <f t="shared" si="1"/>
        <v>5.0769230769230678E-2</v>
      </c>
    </row>
    <row r="14" spans="1:7" ht="15.75" customHeight="1" x14ac:dyDescent="0.2">
      <c r="A14" t="s">
        <v>49</v>
      </c>
      <c r="B14" s="6">
        <f>IFERROR(AVERAGEIF(Main!$M:$M,$A14,Main!$F:$F),"")</f>
        <v>115.86666666666667</v>
      </c>
      <c r="C14" s="7">
        <f t="shared" si="0"/>
        <v>7.8498293515358641E-2</v>
      </c>
      <c r="D14" s="6">
        <f>IFERROR(AVERAGEIF(Main!$M:$M,$A14,Main!$I:$I),"")</f>
        <v>114.7</v>
      </c>
      <c r="E14" s="15">
        <f t="shared" si="1"/>
        <v>5.1329055912007648E-2</v>
      </c>
    </row>
    <row r="15" spans="1:7" ht="15.75" customHeight="1" x14ac:dyDescent="0.2">
      <c r="A15" t="s">
        <v>50</v>
      </c>
      <c r="B15" s="6">
        <f>IFERROR(AVERAGEIF(Main!$M:$M,$A15,Main!$F:$F),"")</f>
        <v>119.86666666666666</v>
      </c>
      <c r="C15" s="7">
        <f t="shared" si="0"/>
        <v>6.6745772767724532E-2</v>
      </c>
      <c r="D15" s="6">
        <f>IFERROR(AVERAGEIF(Main!$M:$M,$A15,Main!$I:$I),"")</f>
        <v>116.76666666666667</v>
      </c>
      <c r="E15" s="15">
        <f t="shared" si="1"/>
        <v>3.5165484633569832E-2</v>
      </c>
    </row>
    <row r="16" spans="1:7" ht="15.75" customHeight="1" x14ac:dyDescent="0.2">
      <c r="A16" t="s">
        <v>51</v>
      </c>
      <c r="B16" s="6">
        <f>IFERROR(AVERAGEIF(Main!$M:$M,$A16,Main!$F:$F),"")</f>
        <v>119.86666666666667</v>
      </c>
      <c r="C16" s="7">
        <f t="shared" si="0"/>
        <v>4.05092592592593E-2</v>
      </c>
      <c r="D16" s="6">
        <f>IFERROR(AVERAGEIF(Main!$M:$M,$A16,Main!$I:$I),"")</f>
        <v>113.93333333333332</v>
      </c>
      <c r="E16" s="15">
        <f t="shared" si="1"/>
        <v>-1.4607069821792606E-3</v>
      </c>
    </row>
    <row r="17" spans="1:5" ht="15.75" customHeight="1" x14ac:dyDescent="0.2">
      <c r="A17" t="s">
        <v>52</v>
      </c>
      <c r="B17" s="6">
        <f>IFERROR(AVERAGEIF(Main!$M:$M,$A17,Main!$F:$F),"")</f>
        <v>119.8</v>
      </c>
      <c r="C17" s="7">
        <f t="shared" si="0"/>
        <v>5.2724077328646812E-2</v>
      </c>
      <c r="D17" s="6">
        <f>IFERROR(AVERAGEIF(Main!$M:$M,$A17,Main!$I:$I),"")</f>
        <v>110.10000000000001</v>
      </c>
      <c r="E17" s="15">
        <f t="shared" si="1"/>
        <v>-3.27964860907759E-2</v>
      </c>
    </row>
    <row r="18" spans="1:5" ht="15.75" customHeight="1" x14ac:dyDescent="0.2">
      <c r="A18" t="s">
        <v>53</v>
      </c>
      <c r="B18" s="6">
        <f>IFERROR(AVERAGEIF(Main!$M:$M,$A18,Main!$F:$F),"")</f>
        <v>121.76666666666667</v>
      </c>
      <c r="C18" s="7">
        <f t="shared" si="0"/>
        <v>5.0920598388952687E-2</v>
      </c>
      <c r="D18" s="6">
        <f>IFERROR(AVERAGEIF(Main!$M:$M,$A18,Main!$I:$I),"")</f>
        <v>111.13333333333333</v>
      </c>
      <c r="E18" s="15">
        <f t="shared" si="1"/>
        <v>-3.1095611740773133E-2</v>
      </c>
    </row>
    <row r="19" spans="1:5" ht="15.75" customHeight="1" x14ac:dyDescent="0.2">
      <c r="A19" t="s">
        <v>54</v>
      </c>
      <c r="B19" s="6">
        <f>IFERROR(AVERAGEIF(Main!$M:$M,$A19,Main!$F:$F),"")</f>
        <v>124.59999999999998</v>
      </c>
      <c r="C19" s="7">
        <f t="shared" si="0"/>
        <v>3.9488320355950846E-2</v>
      </c>
      <c r="D19" s="6">
        <f>IFERROR(AVERAGEIF(Main!$M:$M,$A19,Main!$I:$I),"")</f>
        <v>110.33333333333333</v>
      </c>
      <c r="E19" s="15">
        <f t="shared" si="1"/>
        <v>-5.509563231515846E-2</v>
      </c>
    </row>
    <row r="20" spans="1:5" ht="15.75" customHeight="1" x14ac:dyDescent="0.2">
      <c r="A20" t="s">
        <v>55</v>
      </c>
      <c r="B20" s="6">
        <f>IFERROR(AVERAGEIF(Main!$M:$M,$A20,Main!$F:$F),"")</f>
        <v>126.26666666666665</v>
      </c>
      <c r="C20" s="7">
        <f t="shared" si="0"/>
        <v>5.3392658509454849E-2</v>
      </c>
      <c r="D20" s="6">
        <f>IFERROR(AVERAGEIF(Main!$M:$M,$A20,Main!$I:$I),"")</f>
        <v>109.8</v>
      </c>
      <c r="E20" s="15">
        <f t="shared" si="1"/>
        <v>-3.6278525453481536E-2</v>
      </c>
    </row>
    <row r="21" spans="1:5" ht="15.75" customHeight="1" x14ac:dyDescent="0.2">
      <c r="A21" t="s">
        <v>56</v>
      </c>
      <c r="B21" s="6">
        <f>IFERROR(AVERAGEIF(Main!$M:$M,$A21,Main!$F:$F),"")</f>
        <v>126.10000000000001</v>
      </c>
      <c r="C21" s="7">
        <f t="shared" si="0"/>
        <v>5.258764607679467E-2</v>
      </c>
      <c r="D21" s="6">
        <f>IFERROR(AVERAGEIF(Main!$M:$M,$A21,Main!$I:$I),"")</f>
        <v>107.60000000000001</v>
      </c>
      <c r="E21" s="15">
        <f t="shared" si="1"/>
        <v>-2.2706630336058131E-2</v>
      </c>
    </row>
    <row r="22" spans="1:5" ht="15.75" customHeight="1" x14ac:dyDescent="0.2">
      <c r="A22" t="s">
        <v>57</v>
      </c>
      <c r="B22" s="6">
        <f>IFERROR(AVERAGEIF(Main!$M:$M,$A22,Main!$F:$F),"")</f>
        <v>128.66666666666666</v>
      </c>
      <c r="C22" s="7">
        <f t="shared" si="0"/>
        <v>5.6665754174650917E-2</v>
      </c>
      <c r="D22" s="6">
        <f>IFERROR(AVERAGEIF(Main!$M:$M,$A22,Main!$I:$I),"")</f>
        <v>110.36666666666667</v>
      </c>
      <c r="E22" s="15">
        <f t="shared" si="1"/>
        <v>-6.898620275944678E-3</v>
      </c>
    </row>
    <row r="23" spans="1:5" ht="15.75" customHeight="1" x14ac:dyDescent="0.2">
      <c r="A23" t="s">
        <v>58</v>
      </c>
      <c r="B23" s="6">
        <f>IFERROR(AVERAGEIF(Main!$M:$M,$A23,Main!$F:$F),"")</f>
        <v>131.03333333333333</v>
      </c>
      <c r="C23" s="7">
        <f t="shared" si="0"/>
        <v>5.1631888710540474E-2</v>
      </c>
      <c r="D23" s="6">
        <f>IFERROR(AVERAGEIF(Main!$M:$M,$A23,Main!$I:$I),"")</f>
        <v>111.46666666666668</v>
      </c>
      <c r="E23" s="15">
        <f t="shared" si="1"/>
        <v>1.0271903323262999E-2</v>
      </c>
    </row>
    <row r="24" spans="1:5" ht="15.75" customHeight="1" x14ac:dyDescent="0.2">
      <c r="A24" t="s">
        <v>59</v>
      </c>
      <c r="B24" s="6">
        <f>IFERROR(AVERAGEIF(Main!$M:$M,$A24,Main!$F:$F),"")</f>
        <v>131</v>
      </c>
      <c r="C24" s="7">
        <f t="shared" si="0"/>
        <v>3.7486800422386501E-2</v>
      </c>
      <c r="D24" s="6">
        <f>IFERROR(AVERAGEIF(Main!$M:$M,$A24,Main!$I:$I),"")</f>
        <v>111.7</v>
      </c>
      <c r="E24" s="15">
        <f t="shared" si="1"/>
        <v>1.7304189435336959E-2</v>
      </c>
    </row>
    <row r="25" spans="1:5" ht="15.75" customHeight="1" x14ac:dyDescent="0.2">
      <c r="A25" t="s">
        <v>60</v>
      </c>
      <c r="B25" s="6">
        <f>IFERROR(AVERAGEIF(Main!$M:$M,$A25,Main!$F:$F),"")</f>
        <v>130.6</v>
      </c>
      <c r="C25" s="7">
        <f t="shared" si="0"/>
        <v>3.5685963521014941E-2</v>
      </c>
      <c r="D25" s="6">
        <f>IFERROR(AVERAGEIF(Main!$M:$M,$A25,Main!$I:$I),"")</f>
        <v>112.93333333333332</v>
      </c>
      <c r="E25" s="15">
        <f t="shared" si="1"/>
        <v>4.9566294919454634E-2</v>
      </c>
    </row>
    <row r="26" spans="1:5" ht="15.75" customHeight="1" x14ac:dyDescent="0.2">
      <c r="A26" t="s">
        <v>61</v>
      </c>
      <c r="B26" s="6">
        <f>IFERROR(AVERAGEIF(Main!$M:$M,$A26,Main!$F:$F),"")</f>
        <v>131.5</v>
      </c>
      <c r="C26" s="7">
        <f t="shared" si="0"/>
        <v>2.2020725388601115E-2</v>
      </c>
      <c r="D26" s="6">
        <f>IFERROR(AVERAGEIF(Main!$M:$M,$A26,Main!$I:$I),"")</f>
        <v>112.93333333333334</v>
      </c>
      <c r="E26" s="15">
        <f t="shared" si="1"/>
        <v>2.3255813953488413E-2</v>
      </c>
    </row>
    <row r="27" spans="1:5" ht="15.75" customHeight="1" x14ac:dyDescent="0.2">
      <c r="A27" t="s">
        <v>62</v>
      </c>
      <c r="B27" s="6">
        <f>IFERROR(AVERAGEIF(Main!$M:$M,$A27,Main!$F:$F),"")</f>
        <v>134.93333333333334</v>
      </c>
      <c r="C27" s="7">
        <f t="shared" si="0"/>
        <v>2.9763418977359457E-2</v>
      </c>
      <c r="D27" s="6">
        <f>IFERROR(AVERAGEIF(Main!$M:$M,$A27,Main!$I:$I),"")</f>
        <v>114.53333333333335</v>
      </c>
      <c r="E27" s="15">
        <f t="shared" si="1"/>
        <v>2.7511961722487932E-2</v>
      </c>
    </row>
    <row r="28" spans="1:5" ht="15.75" customHeight="1" x14ac:dyDescent="0.2">
      <c r="A28" t="s">
        <v>63</v>
      </c>
      <c r="B28" s="6">
        <f>IFERROR(AVERAGEIF(Main!$M:$M,$A28,Main!$F:$F),"")</f>
        <v>136.96666666666667</v>
      </c>
      <c r="C28" s="7">
        <f t="shared" si="0"/>
        <v>4.5547073791348591E-2</v>
      </c>
      <c r="D28" s="6">
        <f>IFERROR(AVERAGEIF(Main!$M:$M,$A28,Main!$I:$I),"")</f>
        <v>115.90000000000002</v>
      </c>
      <c r="E28" s="15">
        <f t="shared" si="1"/>
        <v>3.7600716204118312E-2</v>
      </c>
    </row>
    <row r="29" spans="1:5" ht="15.75" customHeight="1" x14ac:dyDescent="0.2">
      <c r="A29" t="s">
        <v>64</v>
      </c>
      <c r="B29" s="6">
        <f>IFERROR(AVERAGEIF(Main!$M:$M,$A29,Main!$F:$F),"")</f>
        <v>136.6</v>
      </c>
      <c r="C29" s="7">
        <f t="shared" si="0"/>
        <v>4.5941807044410421E-2</v>
      </c>
      <c r="D29" s="6">
        <f>IFERROR(AVERAGEIF(Main!$M:$M,$A29,Main!$I:$I),"")</f>
        <v>116.13333333333333</v>
      </c>
      <c r="E29" s="15">
        <f t="shared" si="1"/>
        <v>2.8335301062573759E-2</v>
      </c>
    </row>
    <row r="30" spans="1:5" ht="15.75" customHeight="1" x14ac:dyDescent="0.2">
      <c r="A30" t="s">
        <v>65</v>
      </c>
      <c r="B30" s="6">
        <f>IFERROR(AVERAGEIF(Main!$M:$M,$A30,Main!$F:$F),"")</f>
        <v>137.79999999999998</v>
      </c>
      <c r="C30" s="7">
        <f t="shared" si="0"/>
        <v>4.7908745247148055E-2</v>
      </c>
      <c r="D30" s="6">
        <f>IFERROR(AVERAGEIF(Main!$M:$M,$A30,Main!$I:$I),"")</f>
        <v>118.23333333333333</v>
      </c>
      <c r="E30" s="15">
        <f t="shared" si="1"/>
        <v>4.6930342384887913E-2</v>
      </c>
    </row>
    <row r="31" spans="1:5" ht="15.75" customHeight="1" x14ac:dyDescent="0.2">
      <c r="A31" t="s">
        <v>66</v>
      </c>
      <c r="B31" s="6">
        <f>IFERROR(AVERAGEIF(Main!$M:$M,$A31,Main!$F:$F),"")</f>
        <v>140.13333333333335</v>
      </c>
      <c r="C31" s="7">
        <f t="shared" si="0"/>
        <v>3.8537549407114735E-2</v>
      </c>
      <c r="D31" s="6">
        <f>IFERROR(AVERAGEIF(Main!$M:$M,$A31,Main!$I:$I),"")</f>
        <v>120.3</v>
      </c>
      <c r="E31" s="15">
        <f t="shared" si="1"/>
        <v>5.0349243306169855E-2</v>
      </c>
    </row>
    <row r="32" spans="1:5" ht="15.75" customHeight="1" x14ac:dyDescent="0.2">
      <c r="A32" t="s">
        <v>67</v>
      </c>
      <c r="B32" s="6">
        <f>IFERROR(AVERAGEIF(Main!$M:$M,$A32,Main!$F:$F),"")</f>
        <v>140.53333333333333</v>
      </c>
      <c r="C32" s="7">
        <f t="shared" si="0"/>
        <v>2.6040399123874458E-2</v>
      </c>
      <c r="D32" s="6">
        <f>IFERROR(AVERAGEIF(Main!$M:$M,$A32,Main!$I:$I),"")</f>
        <v>121.10000000000001</v>
      </c>
      <c r="E32" s="15">
        <f t="shared" si="1"/>
        <v>4.4866264020707369E-2</v>
      </c>
    </row>
    <row r="33" spans="1:5" ht="15.75" customHeight="1" x14ac:dyDescent="0.2">
      <c r="A33" t="s">
        <v>68</v>
      </c>
      <c r="B33" s="6">
        <f>IFERROR(AVERAGEIF(Main!$M:$M,$A33,Main!$F:$F),"")</f>
        <v>139.96666666666667</v>
      </c>
      <c r="C33" s="7">
        <f t="shared" si="0"/>
        <v>2.4646168862860085E-2</v>
      </c>
      <c r="D33" s="6">
        <f>IFERROR(AVERAGEIF(Main!$M:$M,$A33,Main!$I:$I),"")</f>
        <v>119.53333333333335</v>
      </c>
      <c r="E33" s="15">
        <f t="shared" si="1"/>
        <v>2.9276693455798197E-2</v>
      </c>
    </row>
    <row r="34" spans="1:5" ht="15.75" customHeight="1" x14ac:dyDescent="0.2">
      <c r="A34" t="s">
        <v>69</v>
      </c>
      <c r="B34" s="6">
        <f>IFERROR(AVERAGEIF(Main!$M:$M,$A34,Main!$F:$F),"")</f>
        <v>142.03333333333333</v>
      </c>
      <c r="C34" s="7">
        <f t="shared" si="0"/>
        <v>3.0720851475568578E-2</v>
      </c>
      <c r="D34" s="6">
        <f>IFERROR(AVERAGEIF(Main!$M:$M,$A34,Main!$I:$I),"")</f>
        <v>121.39999999999999</v>
      </c>
      <c r="E34" s="15">
        <f t="shared" si="1"/>
        <v>2.6783197067944631E-2</v>
      </c>
    </row>
    <row r="35" spans="1:5" ht="15.75" customHeight="1" x14ac:dyDescent="0.2">
      <c r="A35" t="s">
        <v>70</v>
      </c>
      <c r="B35" s="6">
        <f>IFERROR(AVERAGEIF(Main!$M:$M,$A35,Main!$F:$F),"")</f>
        <v>145</v>
      </c>
      <c r="C35" s="7">
        <f t="shared" si="0"/>
        <v>3.4728829686013096E-2</v>
      </c>
      <c r="D35" s="6">
        <f>IFERROR(AVERAGEIF(Main!$M:$M,$A35,Main!$I:$I),"")</f>
        <v>121.36666666666667</v>
      </c>
      <c r="E35" s="15">
        <f t="shared" si="1"/>
        <v>8.8667220836797789E-3</v>
      </c>
    </row>
    <row r="36" spans="1:5" ht="15.75" customHeight="1" x14ac:dyDescent="0.2">
      <c r="A36" t="s">
        <v>71</v>
      </c>
      <c r="B36" s="6">
        <f>IFERROR(AVERAGEIF(Main!$M:$M,$A36,Main!$F:$F),"")</f>
        <v>148.73333333333332</v>
      </c>
      <c r="C36" s="7">
        <f t="shared" si="0"/>
        <v>5.8349146110056926E-2</v>
      </c>
      <c r="D36" s="6">
        <f>IFERROR(AVERAGEIF(Main!$M:$M,$A36,Main!$I:$I),"")</f>
        <v>122.43333333333334</v>
      </c>
      <c r="E36" s="15">
        <f t="shared" si="1"/>
        <v>1.1010184420588986E-2</v>
      </c>
    </row>
    <row r="37" spans="1:5" ht="15.75" customHeight="1" x14ac:dyDescent="0.2">
      <c r="A37" t="s">
        <v>72</v>
      </c>
      <c r="B37" s="6">
        <f>IFERROR(AVERAGEIF(Main!$M:$M,$A37,Main!$F:$F),"")</f>
        <v>149.29999999999998</v>
      </c>
      <c r="C37" s="7">
        <f t="shared" si="0"/>
        <v>6.6682543462729171E-2</v>
      </c>
      <c r="D37" s="6">
        <f>IFERROR(AVERAGEIF(Main!$M:$M,$A37,Main!$I:$I),"")</f>
        <v>122</v>
      </c>
      <c r="E37" s="15">
        <f t="shared" si="1"/>
        <v>2.0635805911879412E-2</v>
      </c>
    </row>
    <row r="38" spans="1:5" ht="15.75" customHeight="1" x14ac:dyDescent="0.2">
      <c r="A38" t="s">
        <v>73</v>
      </c>
      <c r="B38" s="6">
        <f>IFERROR(AVERAGEIF(Main!$M:$M,$A38,Main!$F:$F),"")</f>
        <v>151.36666666666667</v>
      </c>
      <c r="C38" s="7">
        <f t="shared" ref="C38:C59" si="2">IFERROR(B38/B34-1,"")</f>
        <v>6.5712274114057889E-2</v>
      </c>
      <c r="D38" s="6">
        <f>IFERROR(AVERAGEIF(Main!$M:$M,$A38,Main!$I:$I),"")</f>
        <v>118.66666666666667</v>
      </c>
      <c r="E38" s="15">
        <f t="shared" ref="E38:E59" si="3">IFERROR(D38/D34-1,"")</f>
        <v>-2.251510159253145E-2</v>
      </c>
    </row>
    <row r="39" spans="1:5" ht="15.75" customHeight="1" x14ac:dyDescent="0.2">
      <c r="A39" t="s">
        <v>74</v>
      </c>
      <c r="B39" s="6">
        <f>IFERROR(AVERAGEIF(Main!$M:$M,$A39,Main!$F:$F),"")</f>
        <v>155</v>
      </c>
      <c r="C39" s="7">
        <f t="shared" si="2"/>
        <v>6.8965517241379226E-2</v>
      </c>
      <c r="D39" s="6">
        <f>IFERROR(AVERAGEIF(Main!$M:$M,$A39,Main!$I:$I),"")</f>
        <v>121.96666666666665</v>
      </c>
      <c r="E39" s="15">
        <f t="shared" si="3"/>
        <v>4.9436967865970072E-3</v>
      </c>
    </row>
    <row r="40" spans="1:5" ht="15.75" customHeight="1" x14ac:dyDescent="0.2">
      <c r="A40" t="s">
        <v>75</v>
      </c>
      <c r="B40" s="6">
        <f>IFERROR(AVERAGEIF(Main!$M:$M,$A40,Main!$F:$F),"")</f>
        <v>158.20000000000002</v>
      </c>
      <c r="C40" s="7">
        <f t="shared" si="2"/>
        <v>6.3648588077095614E-2</v>
      </c>
      <c r="D40" s="6">
        <f>IFERROR(AVERAGEIF(Main!$M:$M,$A40,Main!$I:$I),"")</f>
        <v>124.7</v>
      </c>
      <c r="E40" s="15">
        <f t="shared" si="3"/>
        <v>1.8513476722025635E-2</v>
      </c>
    </row>
    <row r="41" spans="1:5" ht="15.75" customHeight="1" x14ac:dyDescent="0.2">
      <c r="A41" t="s">
        <v>76</v>
      </c>
      <c r="B41" s="6">
        <f>IFERROR(AVERAGEIF(Main!$M:$M,$A41,Main!$F:$F),"")</f>
        <v>156.56666666666666</v>
      </c>
      <c r="C41" s="7">
        <f t="shared" si="2"/>
        <v>4.8671578477338828E-2</v>
      </c>
      <c r="D41" s="6">
        <f>IFERROR(AVERAGEIF(Main!$M:$M,$A41,Main!$I:$I),"")</f>
        <v>128.16666666666666</v>
      </c>
      <c r="E41" s="15">
        <f t="shared" si="3"/>
        <v>5.0546448087431584E-2</v>
      </c>
    </row>
    <row r="42" spans="1:5" ht="15.75" customHeight="1" x14ac:dyDescent="0.2">
      <c r="A42" t="s">
        <v>77</v>
      </c>
      <c r="B42" s="6">
        <f>IFERROR(AVERAGEIF(Main!$M:$M,$A42,Main!$F:$F),"")</f>
        <v>159.83333333333334</v>
      </c>
      <c r="C42" s="7">
        <f t="shared" si="2"/>
        <v>5.5934816119797448E-2</v>
      </c>
      <c r="D42" s="6">
        <f>IFERROR(AVERAGEIF(Main!$M:$M,$A42,Main!$I:$I),"")</f>
        <v>132.86666666666667</v>
      </c>
      <c r="E42" s="15">
        <f t="shared" si="3"/>
        <v>0.11966292134831469</v>
      </c>
    </row>
    <row r="43" spans="1:5" ht="15.75" customHeight="1" x14ac:dyDescent="0.2">
      <c r="A43" t="s">
        <v>78</v>
      </c>
      <c r="B43" s="6">
        <f>IFERROR(AVERAGEIF(Main!$M:$M,$A43,Main!$F:$F),"")</f>
        <v>162.86666666666667</v>
      </c>
      <c r="C43" s="7">
        <f t="shared" si="2"/>
        <v>5.0752688172043037E-2</v>
      </c>
      <c r="D43" s="6">
        <f>IFERROR(AVERAGEIF(Main!$M:$M,$A43,Main!$I:$I),"")</f>
        <v>136.20000000000002</v>
      </c>
      <c r="E43" s="15">
        <f t="shared" si="3"/>
        <v>0.11669855151680819</v>
      </c>
    </row>
    <row r="44" spans="1:5" ht="15.75" customHeight="1" x14ac:dyDescent="0.2">
      <c r="A44" t="s">
        <v>79</v>
      </c>
      <c r="B44" s="6">
        <f>IFERROR(AVERAGEIF(Main!$M:$M,$A44,Main!$F:$F),"")</f>
        <v>166.13333333333333</v>
      </c>
      <c r="C44" s="7">
        <f t="shared" si="2"/>
        <v>5.0147492625368661E-2</v>
      </c>
      <c r="D44" s="6">
        <f>IFERROR(AVERAGEIF(Main!$M:$M,$A44,Main!$I:$I),"")</f>
        <v>142.56666666666666</v>
      </c>
      <c r="E44" s="15">
        <f t="shared" si="3"/>
        <v>0.14327719860999721</v>
      </c>
    </row>
    <row r="45" spans="1:5" ht="15.75" customHeight="1" x14ac:dyDescent="0.2">
      <c r="A45" t="s">
        <v>80</v>
      </c>
      <c r="B45" s="6">
        <f>IFERROR(AVERAGEIF(Main!$M:$M,$A45,Main!$F:$F),"")</f>
        <v>166.49999999999997</v>
      </c>
      <c r="C45" s="7">
        <f t="shared" si="2"/>
        <v>6.3444751969341961E-2</v>
      </c>
      <c r="D45" s="6">
        <f>IFERROR(AVERAGEIF(Main!$M:$M,$A45,Main!$I:$I),"")</f>
        <v>146.00000000000003</v>
      </c>
      <c r="E45" s="15">
        <f t="shared" si="3"/>
        <v>0.13914174252275724</v>
      </c>
    </row>
    <row r="46" spans="1:5" ht="15.75" customHeight="1" x14ac:dyDescent="0.2">
      <c r="A46" t="s">
        <v>81</v>
      </c>
      <c r="B46" s="6">
        <f>IFERROR(AVERAGEIF(Main!$M:$M,$A46,Main!$F:$F),"")</f>
        <v>171.46666666666667</v>
      </c>
      <c r="C46" s="7">
        <f t="shared" si="2"/>
        <v>7.2784150156412819E-2</v>
      </c>
      <c r="D46" s="6">
        <f>IFERROR(AVERAGEIF(Main!$M:$M,$A46,Main!$I:$I),"")</f>
        <v>154.23333333333332</v>
      </c>
      <c r="E46" s="15">
        <f t="shared" si="3"/>
        <v>0.16081284495735049</v>
      </c>
    </row>
    <row r="47" spans="1:5" ht="15.75" customHeight="1" x14ac:dyDescent="0.2">
      <c r="A47" t="s">
        <v>82</v>
      </c>
      <c r="B47" s="6">
        <f>IFERROR(AVERAGEIF(Main!$M:$M,$A47,Main!$F:$F),"")</f>
        <v>174.33333333333334</v>
      </c>
      <c r="C47" s="7">
        <f t="shared" si="2"/>
        <v>7.0405239459680802E-2</v>
      </c>
      <c r="D47" s="6">
        <f>IFERROR(AVERAGEIF(Main!$M:$M,$A47,Main!$I:$I),"")</f>
        <v>153.03333333333333</v>
      </c>
      <c r="E47" s="15">
        <f t="shared" si="3"/>
        <v>0.12359275575134587</v>
      </c>
    </row>
    <row r="48" spans="1:5" ht="15.75" customHeight="1" x14ac:dyDescent="0.2">
      <c r="A48" t="s">
        <v>83</v>
      </c>
      <c r="B48" s="6">
        <f>IFERROR(AVERAGEIF(Main!$M:$M,$A48,Main!$F:$F),"")</f>
        <v>176.29999999999998</v>
      </c>
      <c r="C48" s="7">
        <f t="shared" si="2"/>
        <v>6.1195826645264795E-2</v>
      </c>
      <c r="D48" s="6">
        <f>IFERROR(AVERAGEIF(Main!$M:$M,$A48,Main!$I:$I),"")</f>
        <v>151.96666666666667</v>
      </c>
      <c r="E48" s="15">
        <f t="shared" si="3"/>
        <v>6.5934065934065922E-2</v>
      </c>
    </row>
    <row r="49" spans="1:5" ht="15.75" customHeight="1" x14ac:dyDescent="0.2">
      <c r="A49" t="s">
        <v>84</v>
      </c>
      <c r="B49" s="6">
        <f>IFERROR(AVERAGEIF(Main!$M:$M,$A49,Main!$F:$F),"")</f>
        <v>176.83333333333334</v>
      </c>
      <c r="C49" s="7">
        <f t="shared" si="2"/>
        <v>6.2062062062062218E-2</v>
      </c>
      <c r="D49" s="6">
        <f>IFERROR(AVERAGEIF(Main!$M:$M,$A49,Main!$I:$I),"")</f>
        <v>150.86666666666665</v>
      </c>
      <c r="E49" s="15">
        <f t="shared" si="3"/>
        <v>3.3333333333332993E-2</v>
      </c>
    </row>
    <row r="50" spans="1:5" ht="15.75" customHeight="1" x14ac:dyDescent="0.2">
      <c r="A50" t="s">
        <v>85</v>
      </c>
      <c r="B50" s="6">
        <f>IFERROR(AVERAGEIF(Main!$M:$M,$A50,Main!$F:$F),"")</f>
        <v>179.4</v>
      </c>
      <c r="C50" s="7">
        <f t="shared" si="2"/>
        <v>4.6267496111975115E-2</v>
      </c>
      <c r="D50" s="6">
        <f>IFERROR(AVERAGEIF(Main!$M:$M,$A50,Main!$I:$I),"")</f>
        <v>149.79999999999998</v>
      </c>
      <c r="E50" s="15">
        <f t="shared" si="3"/>
        <v>-2.8744326777609741E-2</v>
      </c>
    </row>
    <row r="51" spans="1:5" ht="15.75" customHeight="1" x14ac:dyDescent="0.2">
      <c r="A51" t="s">
        <v>86</v>
      </c>
      <c r="B51" s="6">
        <f>IFERROR(AVERAGEIF(Main!$M:$M,$A51,Main!$F:$F),"")</f>
        <v>185.5333333333333</v>
      </c>
      <c r="C51" s="7">
        <f t="shared" si="2"/>
        <v>6.42447418738048E-2</v>
      </c>
      <c r="D51" s="6">
        <f>IFERROR(AVERAGEIF(Main!$M:$M,$A51,Main!$I:$I),"")</f>
        <v>152.13333333333333</v>
      </c>
      <c r="E51" s="15">
        <f t="shared" si="3"/>
        <v>-5.8810716619472903E-3</v>
      </c>
    </row>
    <row r="52" spans="1:5" ht="15.75" customHeight="1" x14ac:dyDescent="0.2">
      <c r="A52" t="s">
        <v>87</v>
      </c>
      <c r="B52" s="6">
        <f>IFERROR(AVERAGEIF(Main!$M:$M,$A52,Main!$F:$F),"")</f>
        <v>185.76666666666665</v>
      </c>
      <c r="C52" s="7">
        <f t="shared" si="2"/>
        <v>5.3696350916997648E-2</v>
      </c>
      <c r="D52" s="6">
        <f>IFERROR(AVERAGEIF(Main!$M:$M,$A52,Main!$I:$I),"")</f>
        <v>152.46666666666667</v>
      </c>
      <c r="E52" s="15">
        <f t="shared" si="3"/>
        <v>3.2901952182495808E-3</v>
      </c>
    </row>
    <row r="53" spans="1:5" ht="15.75" customHeight="1" x14ac:dyDescent="0.2">
      <c r="A53" t="s">
        <v>88</v>
      </c>
      <c r="B53" s="6">
        <f>IFERROR(AVERAGEIF(Main!$M:$M,$A53,Main!$F:$F),"")</f>
        <v>185.70000000000002</v>
      </c>
      <c r="C53" s="7">
        <f t="shared" si="2"/>
        <v>5.0141376060320431E-2</v>
      </c>
      <c r="D53" s="6">
        <f>IFERROR(AVERAGEIF(Main!$M:$M,$A53,Main!$I:$I),"")</f>
        <v>151.26666666666668</v>
      </c>
      <c r="E53" s="15">
        <f t="shared" si="3"/>
        <v>2.6513477684491082E-3</v>
      </c>
    </row>
    <row r="54" spans="1:5" ht="15.75" customHeight="1" x14ac:dyDescent="0.2">
      <c r="A54" t="s">
        <v>89</v>
      </c>
      <c r="B54" s="6">
        <f>IFERROR(AVERAGEIF(Main!$M:$M,$A54,Main!$F:$F),"")</f>
        <v>188.19999999999996</v>
      </c>
      <c r="C54" s="7">
        <f t="shared" si="2"/>
        <v>4.9052396878483506E-2</v>
      </c>
      <c r="D54" s="6">
        <f>IFERROR(AVERAGEIF(Main!$M:$M,$A54,Main!$I:$I),"")</f>
        <v>153.46666666666667</v>
      </c>
      <c r="E54" s="15">
        <f t="shared" si="3"/>
        <v>2.4477080551847052E-2</v>
      </c>
    </row>
    <row r="55" spans="1:5" ht="15.75" customHeight="1" x14ac:dyDescent="0.2">
      <c r="A55" t="s">
        <v>90</v>
      </c>
      <c r="B55" s="6">
        <f>IFERROR(AVERAGEIF(Main!$M:$M,$A55,Main!$F:$F),"")</f>
        <v>193.4</v>
      </c>
      <c r="C55" s="7">
        <f t="shared" si="2"/>
        <v>4.2400287459576136E-2</v>
      </c>
      <c r="D55" s="6">
        <f>IFERROR(AVERAGEIF(Main!$M:$M,$A55,Main!$I:$I),"")</f>
        <v>154.80000000000001</v>
      </c>
      <c r="E55" s="15">
        <f t="shared" si="3"/>
        <v>1.7528483786152682E-2</v>
      </c>
    </row>
    <row r="56" spans="1:5" ht="15.75" customHeight="1" x14ac:dyDescent="0.2">
      <c r="A56" t="s">
        <v>91</v>
      </c>
      <c r="B56" s="6">
        <f>IFERROR(AVERAGEIF(Main!$M:$M,$A56,Main!$F:$F),"")</f>
        <v>196.23333333333335</v>
      </c>
      <c r="C56" s="7">
        <f t="shared" si="2"/>
        <v>5.6343082720258453E-2</v>
      </c>
      <c r="D56" s="6">
        <f>IFERROR(AVERAGEIF(Main!$M:$M,$A56,Main!$I:$I),"")</f>
        <v>156.26666666666668</v>
      </c>
      <c r="E56" s="15">
        <f t="shared" si="3"/>
        <v>2.4923480542195176E-2</v>
      </c>
    </row>
    <row r="57" spans="1:5" ht="15.75" customHeight="1" x14ac:dyDescent="0.2">
      <c r="A57" t="s">
        <v>92</v>
      </c>
      <c r="B57" s="6">
        <f>IFERROR(AVERAGEIF(Main!$M:$M,$A57,Main!$F:$F),"")</f>
        <v>192.63333333333333</v>
      </c>
      <c r="C57" s="7">
        <f t="shared" si="2"/>
        <v>3.7336205349129292E-2</v>
      </c>
      <c r="D57" s="6">
        <f>IFERROR(AVERAGEIF(Main!$M:$M,$A57,Main!$I:$I),"")</f>
        <v>154.9</v>
      </c>
      <c r="E57" s="15">
        <f t="shared" si="3"/>
        <v>2.4019391802556189E-2</v>
      </c>
    </row>
    <row r="58" spans="1:5" ht="15.75" customHeight="1" x14ac:dyDescent="0.2">
      <c r="A58" t="s">
        <v>93</v>
      </c>
      <c r="B58" s="6">
        <f>IFERROR(AVERAGEIF(Main!$M:$M,$A58,Main!$F:$F),"")</f>
        <v>193.26666666666665</v>
      </c>
      <c r="C58" s="7">
        <f t="shared" si="2"/>
        <v>2.6921714488133297E-2</v>
      </c>
      <c r="D58" s="6">
        <f>IFERROR(AVERAGEIF(Main!$M:$M,$A58,Main!$I:$I),"")</f>
        <v>153.86666666666665</v>
      </c>
      <c r="E58" s="15">
        <f t="shared" si="3"/>
        <v>2.6064291920067095E-3</v>
      </c>
    </row>
    <row r="59" spans="1:5" ht="15.75" customHeight="1" x14ac:dyDescent="0.2">
      <c r="A59" t="s">
        <v>94</v>
      </c>
      <c r="B59" s="6">
        <f>IFERROR(AVERAGEIF(Main!$M:$M,$A59,Main!$F:$F),"")</f>
        <v>196.70000000000002</v>
      </c>
      <c r="C59" s="7">
        <f t="shared" si="2"/>
        <v>1.7063081695966931E-2</v>
      </c>
      <c r="D59" s="6">
        <f>IFERROR(AVERAGEIF(Main!$M:$M,$A59,Main!$I:$I),"")</f>
        <v>154.86666666666667</v>
      </c>
      <c r="E59" s="15">
        <f t="shared" si="3"/>
        <v>4.3066322136087187E-4</v>
      </c>
    </row>
    <row r="60" spans="1:5" x14ac:dyDescent="0.2">
      <c r="A60" s="5"/>
      <c r="B60" s="6"/>
      <c r="C60" s="7"/>
      <c r="D60" s="6"/>
      <c r="E60" s="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zoomScaleNormal="100" workbookViewId="0">
      <selection activeCell="E1" sqref="E1:E59"/>
    </sheetView>
  </sheetViews>
  <sheetFormatPr baseColWidth="10" defaultColWidth="10.5" defaultRowHeight="16" x14ac:dyDescent="0.2"/>
  <cols>
    <col min="1" max="2" width="12.1640625" customWidth="1"/>
    <col min="3" max="3" width="12" customWidth="1"/>
    <col min="4" max="4" width="12.1640625" customWidth="1"/>
    <col min="5" max="5" width="11.1640625" customWidth="1"/>
  </cols>
  <sheetData>
    <row r="1" spans="1:5" ht="16.5" customHeight="1" x14ac:dyDescent="0.2">
      <c r="A1" t="s">
        <v>28</v>
      </c>
      <c r="B1" t="s">
        <v>95</v>
      </c>
      <c r="C1" t="s">
        <v>96</v>
      </c>
      <c r="D1" t="s">
        <v>97</v>
      </c>
      <c r="E1" t="s">
        <v>98</v>
      </c>
    </row>
    <row r="2" spans="1:5" ht="16.5" customHeight="1" x14ac:dyDescent="0.2">
      <c r="A2" t="s">
        <v>34</v>
      </c>
      <c r="B2">
        <v>2102862.8175453502</v>
      </c>
      <c r="C2" s="9">
        <v>2043496.2911524901</v>
      </c>
      <c r="D2">
        <f t="shared" ref="D2:D33" si="0">C2/B2*100</f>
        <v>97.176871173072627</v>
      </c>
      <c r="E2" s="4"/>
    </row>
    <row r="3" spans="1:5" ht="16.5" customHeight="1" x14ac:dyDescent="0.2">
      <c r="A3" t="s">
        <v>36</v>
      </c>
      <c r="B3">
        <v>2042870.16440947</v>
      </c>
      <c r="C3" s="10">
        <v>2029469.1651718901</v>
      </c>
      <c r="D3">
        <f t="shared" si="0"/>
        <v>99.3440112117231</v>
      </c>
      <c r="E3" s="4"/>
    </row>
    <row r="4" spans="1:5" ht="16.5" customHeight="1" x14ac:dyDescent="0.2">
      <c r="A4" t="s">
        <v>38</v>
      </c>
      <c r="B4">
        <v>2225135.2279735501</v>
      </c>
      <c r="C4" s="10">
        <v>2244852.2290573502</v>
      </c>
      <c r="D4">
        <f t="shared" si="0"/>
        <v>100.88610349770771</v>
      </c>
      <c r="E4" s="4"/>
    </row>
    <row r="5" spans="1:5" ht="16.5" customHeight="1" x14ac:dyDescent="0.2">
      <c r="A5" t="s">
        <v>40</v>
      </c>
      <c r="B5">
        <v>2365461.3993782601</v>
      </c>
      <c r="C5" s="11">
        <v>2418511.12550929</v>
      </c>
      <c r="D5">
        <f t="shared" si="0"/>
        <v>102.24267984863222</v>
      </c>
      <c r="E5" s="4"/>
    </row>
    <row r="6" spans="1:5" ht="16.5" customHeight="1" x14ac:dyDescent="0.2">
      <c r="A6" t="s">
        <v>41</v>
      </c>
      <c r="B6">
        <v>2205223.4405590799</v>
      </c>
      <c r="C6" s="9">
        <v>2313203.0928381402</v>
      </c>
      <c r="D6">
        <f t="shared" si="0"/>
        <v>104.89654020055603</v>
      </c>
      <c r="E6" s="4">
        <f t="shared" ref="E6:E37" si="1">D6/D2-1</f>
        <v>7.9439365913877014E-2</v>
      </c>
    </row>
    <row r="7" spans="1:5" ht="16.5" customHeight="1" x14ac:dyDescent="0.2">
      <c r="A7" t="s">
        <v>42</v>
      </c>
      <c r="B7">
        <v>2195945.8751209402</v>
      </c>
      <c r="C7" s="10">
        <v>2356953.2749687801</v>
      </c>
      <c r="D7">
        <f t="shared" si="0"/>
        <v>107.3320295218557</v>
      </c>
      <c r="E7" s="4">
        <f t="shared" si="1"/>
        <v>8.0407648258820963E-2</v>
      </c>
    </row>
    <row r="8" spans="1:5" ht="16.5" customHeight="1" x14ac:dyDescent="0.2">
      <c r="A8" t="s">
        <v>43</v>
      </c>
      <c r="B8">
        <v>2344767.2130017099</v>
      </c>
      <c r="C8" s="10">
        <v>2548377.8264655299</v>
      </c>
      <c r="D8">
        <f t="shared" si="0"/>
        <v>108.68361739002495</v>
      </c>
      <c r="E8" s="4">
        <f t="shared" si="1"/>
        <v>7.7290267162458237E-2</v>
      </c>
    </row>
    <row r="9" spans="1:5" ht="16.5" customHeight="1" x14ac:dyDescent="0.2">
      <c r="A9" t="s">
        <v>44</v>
      </c>
      <c r="B9">
        <v>2467081.8672380499</v>
      </c>
      <c r="C9" s="11">
        <v>2725478.9118937198</v>
      </c>
      <c r="D9">
        <f t="shared" si="0"/>
        <v>110.47379286788528</v>
      </c>
      <c r="E9" s="4">
        <f t="shared" si="1"/>
        <v>8.0505646286257448E-2</v>
      </c>
    </row>
    <row r="10" spans="1:5" ht="16.5" customHeight="1" x14ac:dyDescent="0.2">
      <c r="A10" t="s">
        <v>45</v>
      </c>
      <c r="B10">
        <v>2347396.3707367098</v>
      </c>
      <c r="C10" s="9">
        <v>2565374.4450725601</v>
      </c>
      <c r="D10">
        <f t="shared" si="0"/>
        <v>109.28595089662849</v>
      </c>
      <c r="E10" s="4">
        <f t="shared" si="1"/>
        <v>4.1845142725204898E-2</v>
      </c>
    </row>
    <row r="11" spans="1:5" ht="16.5" customHeight="1" x14ac:dyDescent="0.2">
      <c r="A11" t="s">
        <v>46</v>
      </c>
      <c r="B11">
        <v>2357078.8660974</v>
      </c>
      <c r="C11" s="10">
        <v>2686203.2259028</v>
      </c>
      <c r="D11">
        <f t="shared" si="0"/>
        <v>113.96323069793286</v>
      </c>
      <c r="E11" s="4">
        <f t="shared" si="1"/>
        <v>6.1782127903645678E-2</v>
      </c>
    </row>
    <row r="12" spans="1:5" ht="16.5" customHeight="1" x14ac:dyDescent="0.2">
      <c r="A12" t="s">
        <v>47</v>
      </c>
      <c r="B12">
        <v>2497997.34269349</v>
      </c>
      <c r="C12" s="10">
        <v>2921070.0441759601</v>
      </c>
      <c r="D12">
        <f t="shared" si="0"/>
        <v>116.93647524165449</v>
      </c>
      <c r="E12" s="4">
        <f t="shared" si="1"/>
        <v>7.5934699725839216E-2</v>
      </c>
    </row>
    <row r="13" spans="1:5" ht="16.5" customHeight="1" x14ac:dyDescent="0.2">
      <c r="A13" t="s">
        <v>48</v>
      </c>
      <c r="B13">
        <v>2598897.5613917401</v>
      </c>
      <c r="C13" s="10">
        <v>3060874.13839594</v>
      </c>
      <c r="D13">
        <f t="shared" si="0"/>
        <v>117.77586711639401</v>
      </c>
      <c r="E13" s="4">
        <f t="shared" si="1"/>
        <v>6.6097796218884453E-2</v>
      </c>
    </row>
    <row r="14" spans="1:5" ht="16.5" customHeight="1" x14ac:dyDescent="0.2">
      <c r="A14" t="s">
        <v>49</v>
      </c>
      <c r="B14">
        <v>2535750.5874271099</v>
      </c>
      <c r="C14" s="9">
        <v>2914393.22374572</v>
      </c>
      <c r="D14">
        <f t="shared" si="0"/>
        <v>114.93217188614746</v>
      </c>
      <c r="E14" s="4">
        <f t="shared" si="1"/>
        <v>5.1664655366906453E-2</v>
      </c>
    </row>
    <row r="15" spans="1:5" ht="16.5" customHeight="1" x14ac:dyDescent="0.2">
      <c r="A15" t="s">
        <v>50</v>
      </c>
      <c r="B15">
        <v>2562241.5838251398</v>
      </c>
      <c r="C15" s="10">
        <v>3053982.0312102698</v>
      </c>
      <c r="D15">
        <f t="shared" si="0"/>
        <v>119.19180652165579</v>
      </c>
      <c r="E15" s="4">
        <f t="shared" si="1"/>
        <v>4.5879498077600278E-2</v>
      </c>
    </row>
    <row r="16" spans="1:5" ht="16.5" customHeight="1" x14ac:dyDescent="0.2">
      <c r="A16" t="s">
        <v>51</v>
      </c>
      <c r="B16">
        <v>2645947.1351727499</v>
      </c>
      <c r="C16" s="10">
        <v>3184917.0634663701</v>
      </c>
      <c r="D16">
        <f t="shared" si="0"/>
        <v>120.36964084161235</v>
      </c>
      <c r="E16" s="4">
        <f t="shared" si="1"/>
        <v>2.9359236225164675E-2</v>
      </c>
    </row>
    <row r="17" spans="1:5" ht="16.5" customHeight="1" x14ac:dyDescent="0.2">
      <c r="A17" t="s">
        <v>52</v>
      </c>
      <c r="B17">
        <v>2783733.23261791</v>
      </c>
      <c r="C17" s="11">
        <v>3314666.8048581299</v>
      </c>
      <c r="D17">
        <f t="shared" si="0"/>
        <v>119.07271738610217</v>
      </c>
      <c r="E17" s="4">
        <f t="shared" si="1"/>
        <v>1.1011171485806326E-2</v>
      </c>
    </row>
    <row r="18" spans="1:5" ht="16.5" customHeight="1" x14ac:dyDescent="0.2">
      <c r="A18" t="s">
        <v>53</v>
      </c>
      <c r="B18">
        <v>2728278.5843469002</v>
      </c>
      <c r="C18" s="9">
        <v>3243543.36131291</v>
      </c>
      <c r="D18">
        <f t="shared" si="0"/>
        <v>118.88607636779712</v>
      </c>
      <c r="E18" s="4">
        <f t="shared" si="1"/>
        <v>3.4402068774672001E-2</v>
      </c>
    </row>
    <row r="19" spans="1:5" ht="16.5" customHeight="1" x14ac:dyDescent="0.2">
      <c r="A19" t="s">
        <v>54</v>
      </c>
      <c r="B19">
        <v>2768087.0996709499</v>
      </c>
      <c r="C19" s="10">
        <v>3355884.4239562098</v>
      </c>
      <c r="D19">
        <f t="shared" si="0"/>
        <v>121.23478427955294</v>
      </c>
      <c r="E19" s="4">
        <f t="shared" si="1"/>
        <v>1.7140253323754795E-2</v>
      </c>
    </row>
    <row r="20" spans="1:5" ht="16.5" customHeight="1" x14ac:dyDescent="0.2">
      <c r="A20" t="s">
        <v>55</v>
      </c>
      <c r="B20">
        <v>2836387.3934655301</v>
      </c>
      <c r="C20" s="10">
        <v>3476632.4684540401</v>
      </c>
      <c r="D20">
        <f t="shared" si="0"/>
        <v>122.57255396295679</v>
      </c>
      <c r="E20" s="4">
        <f t="shared" si="1"/>
        <v>1.8301235311012798E-2</v>
      </c>
    </row>
    <row r="21" spans="1:5" ht="16.5" customHeight="1" x14ac:dyDescent="0.2">
      <c r="A21" t="s">
        <v>56</v>
      </c>
      <c r="B21">
        <v>3036737.9115181202</v>
      </c>
      <c r="C21" s="11">
        <v>3695813.6251332602</v>
      </c>
      <c r="D21">
        <f t="shared" si="0"/>
        <v>121.70341112136529</v>
      </c>
      <c r="E21" s="4">
        <f t="shared" si="1"/>
        <v>2.2093169560688741E-2</v>
      </c>
    </row>
    <row r="22" spans="1:5" ht="16.5" customHeight="1" x14ac:dyDescent="0.2">
      <c r="A22" t="s">
        <v>57</v>
      </c>
      <c r="B22">
        <v>2965087.77736525</v>
      </c>
      <c r="C22" s="9">
        <v>3639774.6060401001</v>
      </c>
      <c r="D22">
        <f t="shared" si="0"/>
        <v>122.75436274855818</v>
      </c>
      <c r="E22" s="4">
        <f t="shared" si="1"/>
        <v>3.2537757986004667E-2</v>
      </c>
    </row>
    <row r="23" spans="1:5" ht="16.5" customHeight="1" x14ac:dyDescent="0.2">
      <c r="A23" t="s">
        <v>58</v>
      </c>
      <c r="B23">
        <v>3035755.82534701</v>
      </c>
      <c r="C23" s="10">
        <v>3754117.0276477402</v>
      </c>
      <c r="D23">
        <f t="shared" si="0"/>
        <v>123.66333933390759</v>
      </c>
      <c r="E23" s="4">
        <f t="shared" si="1"/>
        <v>2.0031833840316704E-2</v>
      </c>
    </row>
    <row r="24" spans="1:5" ht="16.5" customHeight="1" x14ac:dyDescent="0.2">
      <c r="A24" t="s">
        <v>59</v>
      </c>
      <c r="B24">
        <v>3079621.6131299399</v>
      </c>
      <c r="C24" s="10">
        <v>3875006.7021133802</v>
      </c>
      <c r="D24">
        <f t="shared" si="0"/>
        <v>125.82736416682889</v>
      </c>
      <c r="E24" s="4">
        <f t="shared" si="1"/>
        <v>2.6554151795317393E-2</v>
      </c>
    </row>
    <row r="25" spans="1:5" ht="16.5" customHeight="1" x14ac:dyDescent="0.2">
      <c r="A25" t="s">
        <v>60</v>
      </c>
      <c r="B25">
        <v>3227728.31188777</v>
      </c>
      <c r="C25" s="11">
        <v>4122770.67907215</v>
      </c>
      <c r="D25">
        <f t="shared" si="0"/>
        <v>127.72979261878783</v>
      </c>
      <c r="E25" s="4">
        <f t="shared" si="1"/>
        <v>4.9516948143819128E-2</v>
      </c>
    </row>
    <row r="26" spans="1:5" ht="16.5" customHeight="1" x14ac:dyDescent="0.2">
      <c r="A26" t="s">
        <v>61</v>
      </c>
      <c r="B26">
        <v>3146336.28272358</v>
      </c>
      <c r="C26" s="9">
        <v>4008915.9587263898</v>
      </c>
      <c r="D26">
        <f t="shared" si="0"/>
        <v>127.4153681772417</v>
      </c>
      <c r="E26" s="4">
        <f t="shared" si="1"/>
        <v>3.7970181460929453E-2</v>
      </c>
    </row>
    <row r="27" spans="1:5" ht="16.5" customHeight="1" x14ac:dyDescent="0.2">
      <c r="A27" t="s">
        <v>62</v>
      </c>
      <c r="B27">
        <v>3197195.4852978298</v>
      </c>
      <c r="C27" s="10">
        <v>4157246.3475744599</v>
      </c>
      <c r="D27">
        <f t="shared" si="0"/>
        <v>130.02790622879908</v>
      </c>
      <c r="E27" s="4">
        <f t="shared" si="1"/>
        <v>5.1466885248071081E-2</v>
      </c>
    </row>
    <row r="28" spans="1:5" ht="16.5" customHeight="1" x14ac:dyDescent="0.2">
      <c r="A28" t="s">
        <v>63</v>
      </c>
      <c r="B28">
        <v>3284991.6555802701</v>
      </c>
      <c r="C28" s="10">
        <v>4339193.5219776202</v>
      </c>
      <c r="D28">
        <f t="shared" si="0"/>
        <v>132.09146253405424</v>
      </c>
      <c r="E28" s="4">
        <f t="shared" si="1"/>
        <v>4.9783275750098888E-2</v>
      </c>
    </row>
    <row r="29" spans="1:5" ht="16.5" customHeight="1" x14ac:dyDescent="0.2">
      <c r="A29" t="s">
        <v>64</v>
      </c>
      <c r="B29">
        <v>3516058.35168949</v>
      </c>
      <c r="C29" s="11">
        <v>4584686.0032455102</v>
      </c>
      <c r="D29">
        <f t="shared" si="0"/>
        <v>130.3927735170418</v>
      </c>
      <c r="E29" s="4">
        <f t="shared" si="1"/>
        <v>2.0848549454720366E-2</v>
      </c>
    </row>
    <row r="30" spans="1:5" ht="16.5" customHeight="1" x14ac:dyDescent="0.2">
      <c r="A30" t="s">
        <v>65</v>
      </c>
      <c r="B30">
        <v>3382300.8262527199</v>
      </c>
      <c r="C30" s="9">
        <v>4569369.1096045403</v>
      </c>
      <c r="D30">
        <f t="shared" si="0"/>
        <v>135.09647261822607</v>
      </c>
      <c r="E30" s="4">
        <f t="shared" si="1"/>
        <v>6.0283971634407019E-2</v>
      </c>
    </row>
    <row r="31" spans="1:5" ht="16.5" customHeight="1" x14ac:dyDescent="0.2">
      <c r="A31" t="s">
        <v>66</v>
      </c>
      <c r="B31">
        <v>3403644.1903298399</v>
      </c>
      <c r="C31" s="10">
        <v>4656017.0108580096</v>
      </c>
      <c r="D31">
        <f t="shared" si="0"/>
        <v>136.79505701818982</v>
      </c>
      <c r="E31" s="4">
        <f t="shared" si="1"/>
        <v>5.2043834171129122E-2</v>
      </c>
    </row>
    <row r="32" spans="1:5" ht="16.5" customHeight="1" x14ac:dyDescent="0.2">
      <c r="A32" t="s">
        <v>67</v>
      </c>
      <c r="B32">
        <v>3489760.8891947102</v>
      </c>
      <c r="C32" s="10">
        <v>4872998.3356043203</v>
      </c>
      <c r="D32">
        <f t="shared" si="0"/>
        <v>139.63702644191198</v>
      </c>
      <c r="E32" s="4">
        <f t="shared" si="1"/>
        <v>5.7123781984868449E-2</v>
      </c>
    </row>
    <row r="33" spans="1:5" ht="16.5" customHeight="1" x14ac:dyDescent="0.2">
      <c r="A33" t="s">
        <v>68</v>
      </c>
      <c r="B33">
        <v>3717210.0382428002</v>
      </c>
      <c r="C33" s="10">
        <v>4801283.9885189002</v>
      </c>
      <c r="D33">
        <f t="shared" si="0"/>
        <v>129.16364529104101</v>
      </c>
      <c r="E33" s="4">
        <f t="shared" si="1"/>
        <v>-9.4263523418355311E-3</v>
      </c>
    </row>
    <row r="34" spans="1:5" ht="16.5" customHeight="1" x14ac:dyDescent="0.2">
      <c r="A34" t="s">
        <v>69</v>
      </c>
      <c r="B34">
        <v>3554641.5094634402</v>
      </c>
      <c r="C34" s="9">
        <v>4951378.3515292099</v>
      </c>
      <c r="D34">
        <f t="shared" ref="D34:D59" si="2">C34/B34*100</f>
        <v>139.29332503284141</v>
      </c>
      <c r="E34" s="4">
        <f t="shared" si="1"/>
        <v>3.1065595816667679E-2</v>
      </c>
    </row>
    <row r="35" spans="1:5" ht="16.5" customHeight="1" x14ac:dyDescent="0.2">
      <c r="A35" t="s">
        <v>70</v>
      </c>
      <c r="B35">
        <v>3549945.45361298</v>
      </c>
      <c r="C35" s="10">
        <v>4868137.0423519099</v>
      </c>
      <c r="D35">
        <f t="shared" si="2"/>
        <v>137.13272798029422</v>
      </c>
      <c r="E35" s="4">
        <f t="shared" si="1"/>
        <v>2.4684441782096833E-3</v>
      </c>
    </row>
    <row r="36" spans="1:5" ht="16.5" customHeight="1" x14ac:dyDescent="0.2">
      <c r="A36" t="s">
        <v>71</v>
      </c>
      <c r="B36">
        <v>3603375.0476866299</v>
      </c>
      <c r="C36" s="10">
        <v>5135344.6431585196</v>
      </c>
      <c r="D36">
        <f t="shared" si="2"/>
        <v>142.51485274771539</v>
      </c>
      <c r="E36" s="4">
        <f t="shared" si="1"/>
        <v>2.0609335354190961E-2</v>
      </c>
    </row>
    <row r="37" spans="1:5" ht="16.5" customHeight="1" x14ac:dyDescent="0.2">
      <c r="A37" t="s">
        <v>72</v>
      </c>
      <c r="B37">
        <v>3826678.6421807301</v>
      </c>
      <c r="C37" s="10">
        <v>5148732.8195549799</v>
      </c>
      <c r="D37">
        <f t="shared" si="2"/>
        <v>134.54834599387326</v>
      </c>
      <c r="E37" s="4">
        <f t="shared" si="1"/>
        <v>4.1688980600532277E-2</v>
      </c>
    </row>
    <row r="38" spans="1:5" ht="16.5" customHeight="1" x14ac:dyDescent="0.2">
      <c r="A38" t="s">
        <v>73</v>
      </c>
      <c r="B38">
        <v>2732306.1624803399</v>
      </c>
      <c r="C38" s="12">
        <v>3893942.5831117202</v>
      </c>
      <c r="D38">
        <f t="shared" si="2"/>
        <v>142.51487028001529</v>
      </c>
      <c r="E38" s="4">
        <f t="shared" ref="E38:E59" si="3">D38/D34-1</f>
        <v>2.3127779069200383E-2</v>
      </c>
    </row>
    <row r="39" spans="1:5" ht="16.5" customHeight="1" x14ac:dyDescent="0.2">
      <c r="A39" t="s">
        <v>74</v>
      </c>
      <c r="B39">
        <v>3342656.4132057</v>
      </c>
      <c r="C39" s="13">
        <v>4728281.2804997498</v>
      </c>
      <c r="D39">
        <f t="shared" si="2"/>
        <v>141.45280567335359</v>
      </c>
      <c r="E39" s="4">
        <f t="shared" si="3"/>
        <v>3.1502893267609799E-2</v>
      </c>
    </row>
    <row r="40" spans="1:5" ht="16.5" customHeight="1" x14ac:dyDescent="0.2">
      <c r="A40" t="s">
        <v>75</v>
      </c>
      <c r="B40">
        <v>3667337.9177076598</v>
      </c>
      <c r="C40" s="13">
        <v>5474171.3687495403</v>
      </c>
      <c r="D40">
        <f t="shared" si="2"/>
        <v>149.2682564733843</v>
      </c>
      <c r="E40" s="4">
        <f t="shared" si="3"/>
        <v>4.7387367670540304E-2</v>
      </c>
    </row>
    <row r="41" spans="1:5" ht="16.5" customHeight="1" x14ac:dyDescent="0.2">
      <c r="A41" t="s">
        <v>76</v>
      </c>
      <c r="B41">
        <v>3952568.4405267602</v>
      </c>
      <c r="C41" s="14">
        <v>5757700.7741359798</v>
      </c>
      <c r="D41">
        <f t="shared" si="2"/>
        <v>145.66985646853593</v>
      </c>
      <c r="E41" s="4">
        <f t="shared" si="3"/>
        <v>8.2658098786060785E-2</v>
      </c>
    </row>
    <row r="42" spans="1:5" ht="16.5" customHeight="1" x14ac:dyDescent="0.2">
      <c r="A42" t="s">
        <v>77</v>
      </c>
      <c r="B42">
        <v>3350730.1257925699</v>
      </c>
      <c r="C42" s="12">
        <v>5178170.0659485897</v>
      </c>
      <c r="D42">
        <f t="shared" si="2"/>
        <v>154.53855940498232</v>
      </c>
      <c r="E42" s="4">
        <f t="shared" si="3"/>
        <v>8.4367961752641829E-2</v>
      </c>
    </row>
    <row r="43" spans="1:5" ht="16.5" customHeight="1" x14ac:dyDescent="0.2">
      <c r="A43" t="s">
        <v>78</v>
      </c>
      <c r="B43">
        <v>3672438.1378288199</v>
      </c>
      <c r="C43" s="13">
        <v>5627314.52940627</v>
      </c>
      <c r="D43">
        <f t="shared" si="2"/>
        <v>153.23102304817016</v>
      </c>
      <c r="E43" s="4">
        <f t="shared" si="3"/>
        <v>8.326605696330347E-2</v>
      </c>
    </row>
    <row r="44" spans="1:5" ht="16.5" customHeight="1" x14ac:dyDescent="0.2">
      <c r="A44" t="s">
        <v>79</v>
      </c>
      <c r="B44">
        <v>3870107.78086635</v>
      </c>
      <c r="C44" s="13">
        <v>6268323.1714000003</v>
      </c>
      <c r="D44">
        <f t="shared" si="2"/>
        <v>161.96766411494602</v>
      </c>
      <c r="E44" s="4">
        <f t="shared" si="3"/>
        <v>8.5077751570215021E-2</v>
      </c>
    </row>
    <row r="45" spans="1:5" ht="16.5" customHeight="1" x14ac:dyDescent="0.2">
      <c r="A45" t="s">
        <v>80</v>
      </c>
      <c r="B45">
        <v>4128570.2090689298</v>
      </c>
      <c r="C45" s="13">
        <v>6523590.7615355197</v>
      </c>
      <c r="D45">
        <f t="shared" si="2"/>
        <v>158.01089556877639</v>
      </c>
      <c r="E45" s="4">
        <f t="shared" si="3"/>
        <v>8.4719237043431095E-2</v>
      </c>
    </row>
    <row r="46" spans="1:5" ht="16.5" customHeight="1" x14ac:dyDescent="0.2">
      <c r="A46" t="s">
        <v>81</v>
      </c>
      <c r="B46">
        <v>3802769.07124162</v>
      </c>
      <c r="C46" s="12">
        <v>6499862.5853975201</v>
      </c>
      <c r="D46">
        <f t="shared" si="2"/>
        <v>170.92446224391134</v>
      </c>
      <c r="E46" s="4">
        <f t="shared" si="3"/>
        <v>0.10603116077967489</v>
      </c>
    </row>
    <row r="47" spans="1:5" ht="16.5" customHeight="1" x14ac:dyDescent="0.2">
      <c r="A47" t="s">
        <v>82</v>
      </c>
      <c r="B47">
        <v>3891250.7250851998</v>
      </c>
      <c r="C47" s="13">
        <v>6458024.6565683801</v>
      </c>
      <c r="D47">
        <f t="shared" si="2"/>
        <v>165.96269715894445</v>
      </c>
      <c r="E47" s="4">
        <f t="shared" si="3"/>
        <v>8.3088097028314767E-2</v>
      </c>
    </row>
    <row r="48" spans="1:5" ht="16.5" customHeight="1" x14ac:dyDescent="0.2">
      <c r="A48" t="s">
        <v>83</v>
      </c>
      <c r="B48">
        <v>4057577.78318612</v>
      </c>
      <c r="C48" s="13">
        <v>6827505.43153938</v>
      </c>
      <c r="D48">
        <f t="shared" si="2"/>
        <v>168.26554649996723</v>
      </c>
      <c r="E48" s="4">
        <f t="shared" si="3"/>
        <v>3.8883578518189355E-2</v>
      </c>
    </row>
    <row r="49" spans="1:5" ht="16.5" customHeight="1" x14ac:dyDescent="0.2">
      <c r="A49" t="s">
        <v>84</v>
      </c>
      <c r="B49">
        <v>4413315.7960118996</v>
      </c>
      <c r="C49" s="13">
        <v>7105079.90076611</v>
      </c>
      <c r="D49">
        <f t="shared" si="2"/>
        <v>160.99187615775486</v>
      </c>
      <c r="E49" s="4">
        <f t="shared" si="3"/>
        <v>1.8865664790064685E-2</v>
      </c>
    </row>
    <row r="50" spans="1:5" ht="16.5" customHeight="1" x14ac:dyDescent="0.2">
      <c r="A50" t="s">
        <v>85</v>
      </c>
      <c r="B50">
        <v>4170114.4435351598</v>
      </c>
      <c r="C50" s="12">
        <v>7211627.7407951904</v>
      </c>
      <c r="D50">
        <f t="shared" si="2"/>
        <v>172.93596706860706</v>
      </c>
      <c r="E50" s="4">
        <f t="shared" si="3"/>
        <v>1.1768384690456379E-2</v>
      </c>
    </row>
    <row r="51" spans="1:5" ht="16.5" customHeight="1" x14ac:dyDescent="0.2">
      <c r="A51" t="s">
        <v>86</v>
      </c>
      <c r="B51">
        <v>4254805.79356224</v>
      </c>
      <c r="C51" s="13">
        <v>7240697.1183851296</v>
      </c>
      <c r="D51">
        <f t="shared" si="2"/>
        <v>170.17691217166035</v>
      </c>
      <c r="E51" s="4">
        <f t="shared" si="3"/>
        <v>2.5392543534526357E-2</v>
      </c>
    </row>
    <row r="52" spans="1:5" ht="16.5" customHeight="1" x14ac:dyDescent="0.2">
      <c r="A52" t="s">
        <v>87</v>
      </c>
      <c r="B52">
        <v>4443638.2426613001</v>
      </c>
      <c r="C52" s="13">
        <v>7709665.3732848596</v>
      </c>
      <c r="D52">
        <f t="shared" si="2"/>
        <v>173.49894280924929</v>
      </c>
      <c r="E52" s="4">
        <f t="shared" si="3"/>
        <v>3.1102007619147942E-2</v>
      </c>
    </row>
    <row r="53" spans="1:5" ht="16.5" customHeight="1" x14ac:dyDescent="0.2">
      <c r="A53" t="s">
        <v>88</v>
      </c>
      <c r="B53">
        <v>4782032.4684796799</v>
      </c>
      <c r="C53" s="14">
        <v>7960965.6950431801</v>
      </c>
      <c r="D53">
        <f t="shared" si="2"/>
        <v>166.47661318732446</v>
      </c>
      <c r="E53" s="4">
        <f t="shared" si="3"/>
        <v>3.4068408670479444E-2</v>
      </c>
    </row>
    <row r="54" spans="1:5" ht="16.5" customHeight="1" x14ac:dyDescent="0.2">
      <c r="A54" t="s">
        <v>89</v>
      </c>
      <c r="B54">
        <v>4441663.94615502</v>
      </c>
      <c r="C54" s="13">
        <v>7907894.2114986898</v>
      </c>
      <c r="D54">
        <f t="shared" si="2"/>
        <v>178.03900311603388</v>
      </c>
      <c r="E54" s="4">
        <f t="shared" si="3"/>
        <v>2.9508240153434118E-2</v>
      </c>
    </row>
    <row r="55" spans="1:5" ht="16.5" customHeight="1" x14ac:dyDescent="0.2">
      <c r="A55" t="s">
        <v>90</v>
      </c>
      <c r="B55">
        <v>4493586.5598837798</v>
      </c>
      <c r="C55" s="13">
        <v>7840345.0766465804</v>
      </c>
      <c r="D55">
        <f t="shared" si="2"/>
        <v>174.47855898984528</v>
      </c>
      <c r="E55" s="4">
        <f t="shared" si="3"/>
        <v>2.5277499534400949E-2</v>
      </c>
    </row>
    <row r="56" spans="1:5" ht="16.5" customHeight="1" x14ac:dyDescent="0.2">
      <c r="A56" t="s">
        <v>91</v>
      </c>
      <c r="B56">
        <v>4726541.8298279596</v>
      </c>
      <c r="C56" s="13">
        <v>8502371.9335700497</v>
      </c>
      <c r="D56">
        <f t="shared" si="2"/>
        <v>179.88568047602629</v>
      </c>
      <c r="E56" s="4">
        <f t="shared" si="3"/>
        <v>3.6811392411761235E-2</v>
      </c>
    </row>
    <row r="57" spans="1:5" ht="16.5" customHeight="1" x14ac:dyDescent="0.2">
      <c r="A57" t="s">
        <v>92</v>
      </c>
      <c r="B57">
        <v>5135163.1080317898</v>
      </c>
      <c r="C57" s="13">
        <v>8817534.1472935192</v>
      </c>
      <c r="D57">
        <f t="shared" si="2"/>
        <v>171.70894014062023</v>
      </c>
      <c r="E57" s="4">
        <f t="shared" si="3"/>
        <v>3.1429801778873223E-2</v>
      </c>
    </row>
    <row r="58" spans="1:5" ht="16.5" customHeight="1" x14ac:dyDescent="0.2">
      <c r="A58" t="s">
        <v>93</v>
      </c>
      <c r="B58">
        <v>4788623.3614072502</v>
      </c>
      <c r="C58" s="12">
        <v>8605364.5338808298</v>
      </c>
      <c r="D58">
        <f t="shared" si="2"/>
        <v>179.70435100897015</v>
      </c>
      <c r="E58" s="4">
        <f t="shared" si="3"/>
        <v>9.3538374389285917E-3</v>
      </c>
    </row>
    <row r="59" spans="1:5" ht="16.5" customHeight="1" x14ac:dyDescent="0.2">
      <c r="A59" t="s">
        <v>94</v>
      </c>
      <c r="B59">
        <v>4863340.1663035797</v>
      </c>
      <c r="C59" s="14">
        <v>8525069.5161435399</v>
      </c>
      <c r="D59">
        <f t="shared" si="2"/>
        <v>175.29247851529757</v>
      </c>
      <c r="E59" s="4">
        <f t="shared" si="3"/>
        <v>4.6648684524019934E-3</v>
      </c>
    </row>
    <row r="60" spans="1:5" ht="15.75" customHeight="1" x14ac:dyDescent="0.2">
      <c r="A60" s="2"/>
    </row>
    <row r="61" spans="1:5" ht="15.75" customHeight="1" x14ac:dyDescent="0.2">
      <c r="A61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3F8E-2FD6-3A47-93DB-87F172B389B9}">
  <dimension ref="A1:D59"/>
  <sheetViews>
    <sheetView tabSelected="1" workbookViewId="0">
      <selection activeCell="G14" sqref="G14"/>
    </sheetView>
  </sheetViews>
  <sheetFormatPr baseColWidth="10" defaultRowHeight="16" x14ac:dyDescent="0.2"/>
  <cols>
    <col min="2" max="2" width="14.33203125" style="16" bestFit="1" customWidth="1"/>
    <col min="3" max="3" width="14.6640625" style="16" bestFit="1" customWidth="1"/>
    <col min="4" max="4" width="11.1640625" bestFit="1" customWidth="1"/>
  </cols>
  <sheetData>
    <row r="1" spans="1:4" x14ac:dyDescent="0.2">
      <c r="A1" t="s">
        <v>28</v>
      </c>
      <c r="B1" s="16" t="s">
        <v>30</v>
      </c>
      <c r="C1" s="16" t="s">
        <v>32</v>
      </c>
      <c r="D1" t="s">
        <v>98</v>
      </c>
    </row>
    <row r="2" spans="1:4" x14ac:dyDescent="0.2">
      <c r="A2" t="s">
        <v>34</v>
      </c>
      <c r="D2" s="4"/>
    </row>
    <row r="3" spans="1:4" x14ac:dyDescent="0.2">
      <c r="A3" t="s">
        <v>36</v>
      </c>
      <c r="D3" s="4"/>
    </row>
    <row r="4" spans="1:4" x14ac:dyDescent="0.2">
      <c r="A4" t="s">
        <v>38</v>
      </c>
      <c r="D4" s="4"/>
    </row>
    <row r="5" spans="1:4" x14ac:dyDescent="0.2">
      <c r="A5" t="s">
        <v>40</v>
      </c>
      <c r="D5" s="4"/>
    </row>
    <row r="6" spans="1:4" x14ac:dyDescent="0.2">
      <c r="A6" t="s">
        <v>41</v>
      </c>
      <c r="B6" s="16" t="s">
        <v>99</v>
      </c>
      <c r="C6" s="16" t="s">
        <v>99</v>
      </c>
      <c r="D6" s="4">
        <v>7.9439365913877014E-2</v>
      </c>
    </row>
    <row r="7" spans="1:4" x14ac:dyDescent="0.2">
      <c r="A7" t="s">
        <v>42</v>
      </c>
      <c r="B7" s="16" t="s">
        <v>99</v>
      </c>
      <c r="C7" s="16" t="s">
        <v>99</v>
      </c>
      <c r="D7" s="4">
        <v>8.0407648258820963E-2</v>
      </c>
    </row>
    <row r="8" spans="1:4" x14ac:dyDescent="0.2">
      <c r="A8" t="s">
        <v>43</v>
      </c>
      <c r="B8" s="16" t="s">
        <v>99</v>
      </c>
      <c r="C8" s="16" t="s">
        <v>99</v>
      </c>
      <c r="D8" s="4">
        <v>7.7290267162458237E-2</v>
      </c>
    </row>
    <row r="9" spans="1:4" x14ac:dyDescent="0.2">
      <c r="A9" t="s">
        <v>44</v>
      </c>
      <c r="B9" s="16" t="s">
        <v>99</v>
      </c>
      <c r="C9" s="16" t="s">
        <v>99</v>
      </c>
      <c r="D9" s="4">
        <v>8.0505646286257448E-2</v>
      </c>
    </row>
    <row r="10" spans="1:4" x14ac:dyDescent="0.2">
      <c r="A10" t="s">
        <v>45</v>
      </c>
      <c r="B10" s="16" t="s">
        <v>99</v>
      </c>
      <c r="C10" s="16" t="s">
        <v>99</v>
      </c>
      <c r="D10" s="4">
        <v>4.1845142725204898E-2</v>
      </c>
    </row>
    <row r="11" spans="1:4" x14ac:dyDescent="0.2">
      <c r="A11" t="s">
        <v>46</v>
      </c>
      <c r="B11" s="16" t="s">
        <v>99</v>
      </c>
      <c r="C11" s="16" t="s">
        <v>99</v>
      </c>
      <c r="D11" s="4">
        <v>6.1782127903645678E-2</v>
      </c>
    </row>
    <row r="12" spans="1:4" x14ac:dyDescent="0.2">
      <c r="A12" t="s">
        <v>47</v>
      </c>
      <c r="B12" s="16" t="s">
        <v>99</v>
      </c>
      <c r="C12" s="16" t="s">
        <v>99</v>
      </c>
      <c r="D12" s="4">
        <v>7.5934699725839216E-2</v>
      </c>
    </row>
    <row r="13" spans="1:4" x14ac:dyDescent="0.2">
      <c r="A13" t="s">
        <v>48</v>
      </c>
      <c r="B13" s="16">
        <v>8.243500317057717E-2</v>
      </c>
      <c r="C13" s="16">
        <v>5.0769230769230678E-2</v>
      </c>
      <c r="D13" s="4">
        <v>6.6097796218884453E-2</v>
      </c>
    </row>
    <row r="14" spans="1:4" x14ac:dyDescent="0.2">
      <c r="A14" t="s">
        <v>49</v>
      </c>
      <c r="B14" s="16">
        <v>7.8498293515358641E-2</v>
      </c>
      <c r="C14" s="16">
        <v>5.1329055912007648E-2</v>
      </c>
      <c r="D14" s="4">
        <v>5.1664655366906453E-2</v>
      </c>
    </row>
    <row r="15" spans="1:4" x14ac:dyDescent="0.2">
      <c r="A15" t="s">
        <v>50</v>
      </c>
      <c r="B15" s="16">
        <v>6.6745772767724532E-2</v>
      </c>
      <c r="C15" s="16">
        <v>3.5165484633569832E-2</v>
      </c>
      <c r="D15" s="4">
        <v>4.5879498077600278E-2</v>
      </c>
    </row>
    <row r="16" spans="1:4" x14ac:dyDescent="0.2">
      <c r="A16" t="s">
        <v>51</v>
      </c>
      <c r="B16" s="16">
        <v>4.05092592592593E-2</v>
      </c>
      <c r="C16" s="16">
        <v>-1.4607069821792606E-3</v>
      </c>
      <c r="D16" s="4">
        <v>2.9359236225164675E-2</v>
      </c>
    </row>
    <row r="17" spans="1:4" x14ac:dyDescent="0.2">
      <c r="A17" t="s">
        <v>52</v>
      </c>
      <c r="B17" s="16">
        <v>5.2724077328646812E-2</v>
      </c>
      <c r="C17" s="16">
        <v>-3.27964860907759E-2</v>
      </c>
      <c r="D17" s="4">
        <v>1.1011171485806326E-2</v>
      </c>
    </row>
    <row r="18" spans="1:4" x14ac:dyDescent="0.2">
      <c r="A18" t="s">
        <v>53</v>
      </c>
      <c r="B18" s="16">
        <v>5.0920598388952687E-2</v>
      </c>
      <c r="C18" s="16">
        <v>-3.1095611740773133E-2</v>
      </c>
      <c r="D18" s="4">
        <v>3.4402068774672001E-2</v>
      </c>
    </row>
    <row r="19" spans="1:4" x14ac:dyDescent="0.2">
      <c r="A19" t="s">
        <v>54</v>
      </c>
      <c r="B19" s="16">
        <v>3.9488320355950846E-2</v>
      </c>
      <c r="C19" s="16">
        <v>-5.509563231515846E-2</v>
      </c>
      <c r="D19" s="4">
        <v>1.7140253323754795E-2</v>
      </c>
    </row>
    <row r="20" spans="1:4" x14ac:dyDescent="0.2">
      <c r="A20" t="s">
        <v>55</v>
      </c>
      <c r="B20" s="16">
        <v>5.3392658509454849E-2</v>
      </c>
      <c r="C20" s="16">
        <v>-3.6278525453481536E-2</v>
      </c>
      <c r="D20" s="4">
        <v>1.8301235311012798E-2</v>
      </c>
    </row>
    <row r="21" spans="1:4" x14ac:dyDescent="0.2">
      <c r="A21" t="s">
        <v>56</v>
      </c>
      <c r="B21" s="16">
        <v>5.258764607679467E-2</v>
      </c>
      <c r="C21" s="16">
        <v>-2.2706630336058131E-2</v>
      </c>
      <c r="D21" s="4">
        <v>2.2093169560688741E-2</v>
      </c>
    </row>
    <row r="22" spans="1:4" x14ac:dyDescent="0.2">
      <c r="A22" t="s">
        <v>57</v>
      </c>
      <c r="B22" s="16">
        <v>5.6665754174650917E-2</v>
      </c>
      <c r="C22" s="16">
        <v>-6.898620275944678E-3</v>
      </c>
      <c r="D22" s="4">
        <v>3.2537757986004667E-2</v>
      </c>
    </row>
    <row r="23" spans="1:4" x14ac:dyDescent="0.2">
      <c r="A23" t="s">
        <v>58</v>
      </c>
      <c r="B23" s="16">
        <v>5.1631888710540474E-2</v>
      </c>
      <c r="C23" s="16">
        <v>1.0271903323262999E-2</v>
      </c>
      <c r="D23" s="4">
        <v>2.0031833840316704E-2</v>
      </c>
    </row>
    <row r="24" spans="1:4" x14ac:dyDescent="0.2">
      <c r="A24" t="s">
        <v>59</v>
      </c>
      <c r="B24" s="16">
        <v>3.7486800422386501E-2</v>
      </c>
      <c r="C24" s="16">
        <v>1.7304189435336959E-2</v>
      </c>
      <c r="D24" s="4">
        <v>2.6554151795317393E-2</v>
      </c>
    </row>
    <row r="25" spans="1:4" x14ac:dyDescent="0.2">
      <c r="A25" t="s">
        <v>60</v>
      </c>
      <c r="B25" s="16">
        <v>3.5685963521014941E-2</v>
      </c>
      <c r="C25" s="16">
        <v>4.9566294919454634E-2</v>
      </c>
      <c r="D25" s="4">
        <v>4.9516948143819128E-2</v>
      </c>
    </row>
    <row r="26" spans="1:4" x14ac:dyDescent="0.2">
      <c r="A26" t="s">
        <v>61</v>
      </c>
      <c r="B26" s="16">
        <v>2.2020725388601115E-2</v>
      </c>
      <c r="C26" s="16">
        <v>2.3255813953488413E-2</v>
      </c>
      <c r="D26" s="4">
        <v>3.7970181460929453E-2</v>
      </c>
    </row>
    <row r="27" spans="1:4" x14ac:dyDescent="0.2">
      <c r="A27" t="s">
        <v>62</v>
      </c>
      <c r="B27" s="16">
        <v>2.9763418977359457E-2</v>
      </c>
      <c r="C27" s="16">
        <v>2.7511961722487932E-2</v>
      </c>
      <c r="D27" s="4">
        <v>5.1466885248071081E-2</v>
      </c>
    </row>
    <row r="28" spans="1:4" x14ac:dyDescent="0.2">
      <c r="A28" t="s">
        <v>63</v>
      </c>
      <c r="B28" s="16">
        <v>4.5547073791348591E-2</v>
      </c>
      <c r="C28" s="16">
        <v>3.7600716204118312E-2</v>
      </c>
      <c r="D28" s="4">
        <v>4.9783275750098888E-2</v>
      </c>
    </row>
    <row r="29" spans="1:4" x14ac:dyDescent="0.2">
      <c r="A29" t="s">
        <v>64</v>
      </c>
      <c r="B29" s="16">
        <v>4.5941807044410421E-2</v>
      </c>
      <c r="C29" s="16">
        <v>2.8335301062573759E-2</v>
      </c>
      <c r="D29" s="4">
        <v>2.0848549454720366E-2</v>
      </c>
    </row>
    <row r="30" spans="1:4" x14ac:dyDescent="0.2">
      <c r="A30" t="s">
        <v>65</v>
      </c>
      <c r="B30" s="16">
        <v>4.7908745247148055E-2</v>
      </c>
      <c r="C30" s="16">
        <v>4.6930342384887913E-2</v>
      </c>
      <c r="D30" s="4">
        <v>6.0283971634407019E-2</v>
      </c>
    </row>
    <row r="31" spans="1:4" x14ac:dyDescent="0.2">
      <c r="A31" t="s">
        <v>66</v>
      </c>
      <c r="B31" s="16">
        <v>3.8537549407114735E-2</v>
      </c>
      <c r="C31" s="16">
        <v>5.0349243306169855E-2</v>
      </c>
      <c r="D31" s="4">
        <v>5.2043834171129122E-2</v>
      </c>
    </row>
    <row r="32" spans="1:4" x14ac:dyDescent="0.2">
      <c r="A32" t="s">
        <v>67</v>
      </c>
      <c r="B32" s="16">
        <v>2.6040399123874458E-2</v>
      </c>
      <c r="C32" s="16">
        <v>4.4866264020707369E-2</v>
      </c>
      <c r="D32" s="4">
        <v>5.7123781984868449E-2</v>
      </c>
    </row>
    <row r="33" spans="1:4" x14ac:dyDescent="0.2">
      <c r="A33" t="s">
        <v>68</v>
      </c>
      <c r="B33" s="16">
        <v>2.4646168862860085E-2</v>
      </c>
      <c r="C33" s="16">
        <v>2.9276693455798197E-2</v>
      </c>
      <c r="D33" s="4">
        <v>-9.4263523418355311E-3</v>
      </c>
    </row>
    <row r="34" spans="1:4" x14ac:dyDescent="0.2">
      <c r="A34" t="s">
        <v>69</v>
      </c>
      <c r="B34" s="16">
        <v>3.0720851475568578E-2</v>
      </c>
      <c r="C34" s="16">
        <v>2.6783197067944631E-2</v>
      </c>
      <c r="D34" s="4">
        <v>3.1065595816667679E-2</v>
      </c>
    </row>
    <row r="35" spans="1:4" x14ac:dyDescent="0.2">
      <c r="A35" t="s">
        <v>70</v>
      </c>
      <c r="B35" s="16">
        <v>3.4728829686013096E-2</v>
      </c>
      <c r="C35" s="16">
        <v>8.8667220836797789E-3</v>
      </c>
      <c r="D35" s="4">
        <v>2.4684441782096833E-3</v>
      </c>
    </row>
    <row r="36" spans="1:4" x14ac:dyDescent="0.2">
      <c r="A36" t="s">
        <v>71</v>
      </c>
      <c r="B36" s="16">
        <v>5.8349146110056926E-2</v>
      </c>
      <c r="C36" s="16">
        <v>1.1010184420588986E-2</v>
      </c>
      <c r="D36" s="4">
        <v>2.0609335354190961E-2</v>
      </c>
    </row>
    <row r="37" spans="1:4" x14ac:dyDescent="0.2">
      <c r="A37" t="s">
        <v>72</v>
      </c>
      <c r="B37" s="16">
        <v>6.6682543462729171E-2</v>
      </c>
      <c r="C37" s="16">
        <v>2.0635805911879412E-2</v>
      </c>
      <c r="D37" s="4">
        <v>4.1688980600532277E-2</v>
      </c>
    </row>
    <row r="38" spans="1:4" x14ac:dyDescent="0.2">
      <c r="A38" t="s">
        <v>73</v>
      </c>
      <c r="B38" s="16">
        <v>6.5712274114057889E-2</v>
      </c>
      <c r="C38" s="16">
        <v>-2.251510159253145E-2</v>
      </c>
      <c r="D38" s="4">
        <v>2.3127779069200383E-2</v>
      </c>
    </row>
    <row r="39" spans="1:4" x14ac:dyDescent="0.2">
      <c r="A39" t="s">
        <v>74</v>
      </c>
      <c r="B39" s="16">
        <v>6.8965517241379226E-2</v>
      </c>
      <c r="C39" s="16">
        <v>4.9436967865970072E-3</v>
      </c>
      <c r="D39" s="4">
        <v>3.1502893267609799E-2</v>
      </c>
    </row>
    <row r="40" spans="1:4" x14ac:dyDescent="0.2">
      <c r="A40" t="s">
        <v>75</v>
      </c>
      <c r="B40" s="16">
        <v>6.3648588077095614E-2</v>
      </c>
      <c r="C40" s="16">
        <v>1.8513476722025635E-2</v>
      </c>
      <c r="D40" s="4">
        <v>4.7387367670540304E-2</v>
      </c>
    </row>
    <row r="41" spans="1:4" x14ac:dyDescent="0.2">
      <c r="A41" t="s">
        <v>76</v>
      </c>
      <c r="B41" s="16">
        <v>4.8671578477338828E-2</v>
      </c>
      <c r="C41" s="16">
        <v>5.0546448087431584E-2</v>
      </c>
      <c r="D41" s="4">
        <v>8.2658098786060785E-2</v>
      </c>
    </row>
    <row r="42" spans="1:4" x14ac:dyDescent="0.2">
      <c r="A42" t="s">
        <v>77</v>
      </c>
      <c r="B42" s="16">
        <v>5.5934816119797448E-2</v>
      </c>
      <c r="C42" s="16">
        <v>0.11966292134831469</v>
      </c>
      <c r="D42" s="4">
        <v>8.4367961752641829E-2</v>
      </c>
    </row>
    <row r="43" spans="1:4" x14ac:dyDescent="0.2">
      <c r="A43" t="s">
        <v>78</v>
      </c>
      <c r="B43" s="16">
        <v>5.0752688172043037E-2</v>
      </c>
      <c r="C43" s="16">
        <v>0.11669855151680819</v>
      </c>
      <c r="D43" s="4">
        <v>8.326605696330347E-2</v>
      </c>
    </row>
    <row r="44" spans="1:4" x14ac:dyDescent="0.2">
      <c r="A44" t="s">
        <v>79</v>
      </c>
      <c r="B44" s="16">
        <v>5.0147492625368661E-2</v>
      </c>
      <c r="C44" s="16">
        <v>0.14327719860999721</v>
      </c>
      <c r="D44" s="4">
        <v>8.5077751570215021E-2</v>
      </c>
    </row>
    <row r="45" spans="1:4" x14ac:dyDescent="0.2">
      <c r="A45" t="s">
        <v>80</v>
      </c>
      <c r="B45" s="16">
        <v>6.3444751969341961E-2</v>
      </c>
      <c r="C45" s="16">
        <v>0.13914174252275724</v>
      </c>
      <c r="D45" s="4">
        <v>8.4719237043431095E-2</v>
      </c>
    </row>
    <row r="46" spans="1:4" x14ac:dyDescent="0.2">
      <c r="A46" t="s">
        <v>81</v>
      </c>
      <c r="B46" s="16">
        <v>7.2784150156412819E-2</v>
      </c>
      <c r="C46" s="16">
        <v>0.16081284495735049</v>
      </c>
      <c r="D46" s="4">
        <v>0.10603116077967489</v>
      </c>
    </row>
    <row r="47" spans="1:4" x14ac:dyDescent="0.2">
      <c r="A47" t="s">
        <v>82</v>
      </c>
      <c r="B47" s="16">
        <v>7.0405239459680802E-2</v>
      </c>
      <c r="C47" s="16">
        <v>0.12359275575134587</v>
      </c>
      <c r="D47" s="4">
        <v>8.3088097028314767E-2</v>
      </c>
    </row>
    <row r="48" spans="1:4" x14ac:dyDescent="0.2">
      <c r="A48" t="s">
        <v>83</v>
      </c>
      <c r="B48" s="16">
        <v>6.1195826645264795E-2</v>
      </c>
      <c r="C48" s="16">
        <v>6.5934065934065922E-2</v>
      </c>
      <c r="D48" s="4">
        <v>3.8883578518189355E-2</v>
      </c>
    </row>
    <row r="49" spans="1:4" x14ac:dyDescent="0.2">
      <c r="A49" t="s">
        <v>84</v>
      </c>
      <c r="B49" s="16">
        <v>6.2062062062062218E-2</v>
      </c>
      <c r="C49" s="16">
        <v>3.3333333333332993E-2</v>
      </c>
      <c r="D49" s="4">
        <v>1.8865664790064685E-2</v>
      </c>
    </row>
    <row r="50" spans="1:4" x14ac:dyDescent="0.2">
      <c r="A50" t="s">
        <v>85</v>
      </c>
      <c r="B50" s="16">
        <v>4.6267496111975115E-2</v>
      </c>
      <c r="C50" s="16">
        <v>-2.8744326777609741E-2</v>
      </c>
      <c r="D50" s="4">
        <v>1.1768384690456379E-2</v>
      </c>
    </row>
    <row r="51" spans="1:4" x14ac:dyDescent="0.2">
      <c r="A51" t="s">
        <v>86</v>
      </c>
      <c r="B51" s="16">
        <v>6.42447418738048E-2</v>
      </c>
      <c r="C51" s="16">
        <v>-5.8810716619472903E-3</v>
      </c>
      <c r="D51" s="4">
        <v>2.5392543534526357E-2</v>
      </c>
    </row>
    <row r="52" spans="1:4" x14ac:dyDescent="0.2">
      <c r="A52" t="s">
        <v>87</v>
      </c>
      <c r="B52" s="16">
        <v>5.3696350916997648E-2</v>
      </c>
      <c r="C52" s="16">
        <v>3.2901952182495808E-3</v>
      </c>
      <c r="D52" s="4">
        <v>3.1102007619147942E-2</v>
      </c>
    </row>
    <row r="53" spans="1:4" x14ac:dyDescent="0.2">
      <c r="A53" t="s">
        <v>88</v>
      </c>
      <c r="B53" s="16">
        <v>5.0141376060320431E-2</v>
      </c>
      <c r="C53" s="16">
        <v>2.6513477684491082E-3</v>
      </c>
      <c r="D53" s="4">
        <v>3.4068408670479444E-2</v>
      </c>
    </row>
    <row r="54" spans="1:4" x14ac:dyDescent="0.2">
      <c r="A54" t="s">
        <v>89</v>
      </c>
      <c r="B54" s="16">
        <v>4.9052396878483506E-2</v>
      </c>
      <c r="C54" s="16">
        <v>2.4477080551847052E-2</v>
      </c>
      <c r="D54" s="4">
        <v>2.9508240153434118E-2</v>
      </c>
    </row>
    <row r="55" spans="1:4" x14ac:dyDescent="0.2">
      <c r="A55" t="s">
        <v>90</v>
      </c>
      <c r="B55" s="16">
        <v>4.2400287459576136E-2</v>
      </c>
      <c r="C55" s="16">
        <v>1.7528483786152682E-2</v>
      </c>
      <c r="D55" s="4">
        <v>2.5277499534400949E-2</v>
      </c>
    </row>
    <row r="56" spans="1:4" x14ac:dyDescent="0.2">
      <c r="A56" t="s">
        <v>91</v>
      </c>
      <c r="B56" s="16">
        <v>5.6343082720258453E-2</v>
      </c>
      <c r="C56" s="16">
        <v>2.4923480542195176E-2</v>
      </c>
      <c r="D56" s="4">
        <v>3.6811392411761235E-2</v>
      </c>
    </row>
    <row r="57" spans="1:4" x14ac:dyDescent="0.2">
      <c r="A57" t="s">
        <v>92</v>
      </c>
      <c r="B57" s="16">
        <v>3.7336205349129292E-2</v>
      </c>
      <c r="C57" s="16">
        <v>2.4019391802556189E-2</v>
      </c>
      <c r="D57" s="4">
        <v>3.1429801778873223E-2</v>
      </c>
    </row>
    <row r="58" spans="1:4" x14ac:dyDescent="0.2">
      <c r="A58" t="s">
        <v>93</v>
      </c>
      <c r="B58" s="16">
        <v>2.6921714488133297E-2</v>
      </c>
      <c r="C58" s="16">
        <v>2.6064291920067095E-3</v>
      </c>
      <c r="D58" s="4">
        <v>9.3538374389285917E-3</v>
      </c>
    </row>
    <row r="59" spans="1:4" x14ac:dyDescent="0.2">
      <c r="A59" t="s">
        <v>94</v>
      </c>
      <c r="B59" s="16">
        <v>1.7063081695966931E-2</v>
      </c>
      <c r="C59" s="16">
        <v>4.3066322136087187E-4</v>
      </c>
      <c r="D59" s="4">
        <v>4.6648684524019934E-3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cpi quarterly</vt:lpstr>
      <vt:lpstr>quarterly data</vt:lpstr>
      <vt:lpstr>Regression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nischay narula</dc:creator>
  <dc:description/>
  <cp:lastModifiedBy>nischay narula</cp:lastModifiedBy>
  <cp:revision>0</cp:revision>
  <dcterms:created xsi:type="dcterms:W3CDTF">2026-09-04T07:59:02Z</dcterms:created>
  <dcterms:modified xsi:type="dcterms:W3CDTF">2026-09-04T11:04:52Z</dcterms:modified>
  <dc:language>en-US</dc:language>
</cp:coreProperties>
</file>